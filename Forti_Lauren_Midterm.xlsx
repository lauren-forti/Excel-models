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ocuments\School\Spring 2022\DSCI 201 - Math Models - Excel\Week 4\"/>
    </mc:Choice>
  </mc:AlternateContent>
  <xr:revisionPtr revIDLastSave="0" documentId="13_ncr:1_{E2ECA263-4DF5-4740-BBD6-393B899464B0}" xr6:coauthVersionLast="47" xr6:coauthVersionMax="47" xr10:uidLastSave="{00000000-0000-0000-0000-000000000000}"/>
  <bookViews>
    <workbookView xWindow="3120" yWindow="3120" windowWidth="14610" windowHeight="8925" xr2:uid="{DEEA0092-FFC5-45A6-8BEC-922BA303B4B9}"/>
  </bookViews>
  <sheets>
    <sheet name="Benefits" sheetId="2" r:id="rId1"/>
    <sheet name="Distributions" sheetId="5" r:id="rId2"/>
    <sheet name="Grade_Report" sheetId="7" r:id="rId3"/>
    <sheet name="Records" sheetId="6" state="hidden" r:id="rId4"/>
    <sheet name="EeData" sheetId="4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_xlnm.Print_Area" localSheetId="0">Benefits!$A$1:$I$33</definedName>
    <definedName name="_xlnm.Print_Area" localSheetId="2">Grade_Report!$A$1:$F$16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2" i="2" l="1"/>
  <c r="E14" i="7"/>
  <c r="E13" i="7"/>
  <c r="E12" i="7"/>
  <c r="E11" i="7"/>
  <c r="E7" i="7"/>
  <c r="E8" i="7" s="1"/>
  <c r="E9" i="7" s="1"/>
  <c r="H15" i="5"/>
  <c r="H16" i="5"/>
  <c r="H17" i="5"/>
  <c r="H18" i="5"/>
  <c r="H19" i="5"/>
  <c r="H20" i="5"/>
  <c r="H21" i="5"/>
  <c r="H22" i="5"/>
  <c r="I15" i="5"/>
  <c r="I16" i="5"/>
  <c r="I17" i="5"/>
  <c r="I18" i="5"/>
  <c r="I19" i="5"/>
  <c r="I20" i="5"/>
  <c r="I21" i="5"/>
  <c r="I22" i="5"/>
  <c r="G20" i="5" l="1"/>
  <c r="G21" i="5"/>
  <c r="B22" i="5"/>
  <c r="G22" i="5" s="1"/>
  <c r="B21" i="5"/>
  <c r="F21" i="5" s="1"/>
  <c r="B20" i="5"/>
  <c r="B19" i="5"/>
  <c r="G19" i="5" s="1"/>
  <c r="B18" i="5"/>
  <c r="G18" i="5" s="1"/>
  <c r="B17" i="5"/>
  <c r="G17" i="5" s="1"/>
  <c r="B16" i="5"/>
  <c r="G16" i="5" s="1"/>
  <c r="B15" i="5"/>
  <c r="G15" i="5" s="1"/>
  <c r="B14" i="5"/>
  <c r="B13" i="5"/>
  <c r="H13" i="5" s="1"/>
  <c r="B12" i="5"/>
  <c r="H12" i="5" s="1"/>
  <c r="B11" i="5"/>
  <c r="B10" i="5"/>
  <c r="B9" i="5"/>
  <c r="B8" i="5"/>
  <c r="B7" i="5"/>
  <c r="G14" i="5" l="1"/>
  <c r="I14" i="5" s="1"/>
  <c r="H14" i="5"/>
  <c r="G11" i="5"/>
  <c r="I11" i="5" s="1"/>
  <c r="H11" i="5"/>
  <c r="G10" i="5"/>
  <c r="H10" i="5"/>
  <c r="G9" i="5"/>
  <c r="I9" i="5" s="1"/>
  <c r="H9" i="5"/>
  <c r="G8" i="5"/>
  <c r="H8" i="5"/>
  <c r="G7" i="5"/>
  <c r="I7" i="5" s="1"/>
  <c r="H7" i="5"/>
  <c r="G13" i="5"/>
  <c r="I13" i="5" s="1"/>
  <c r="F12" i="5"/>
  <c r="G12" i="5"/>
  <c r="I12" i="5" s="1"/>
  <c r="F11" i="5"/>
  <c r="F22" i="5"/>
  <c r="F19" i="5"/>
  <c r="F8" i="5"/>
  <c r="F16" i="5"/>
  <c r="F18" i="5"/>
  <c r="F7" i="5"/>
  <c r="F15" i="5"/>
  <c r="F13" i="5"/>
  <c r="F10" i="5"/>
  <c r="F20" i="5"/>
  <c r="F9" i="5"/>
  <c r="F14" i="5"/>
  <c r="I10" i="5" l="1"/>
  <c r="H23" i="5"/>
  <c r="I8" i="5"/>
  <c r="G23" i="5"/>
  <c r="H16" i="2"/>
  <c r="H15" i="2"/>
  <c r="H19" i="2"/>
  <c r="H18" i="2"/>
  <c r="H17" i="2"/>
  <c r="H14" i="2"/>
  <c r="H13" i="2"/>
  <c r="D26" i="2" s="1"/>
  <c r="B23" i="2" l="1"/>
  <c r="E27" i="2"/>
  <c r="I23" i="5"/>
  <c r="D28" i="2"/>
  <c r="C28" i="2"/>
  <c r="F30" i="2"/>
  <c r="G27" i="2"/>
  <c r="C31" i="2"/>
  <c r="C27" i="2"/>
  <c r="H29" i="2"/>
  <c r="H28" i="2"/>
  <c r="E31" i="2"/>
  <c r="G32" i="2"/>
  <c r="E30" i="2"/>
  <c r="F27" i="2"/>
  <c r="D30" i="2"/>
  <c r="H26" i="2"/>
  <c r="F32" i="2"/>
  <c r="G29" i="2"/>
  <c r="C30" i="2"/>
  <c r="C26" i="2"/>
  <c r="F28" i="2"/>
  <c r="H31" i="2"/>
  <c r="E32" i="2"/>
  <c r="F29" i="2"/>
  <c r="G26" i="2"/>
  <c r="D29" i="2"/>
  <c r="D31" i="2"/>
  <c r="D32" i="2"/>
  <c r="H27" i="2"/>
  <c r="G30" i="2"/>
  <c r="E28" i="2"/>
  <c r="C32" i="2"/>
  <c r="D27" i="2"/>
  <c r="H30" i="2"/>
  <c r="G31" i="2"/>
  <c r="E29" i="2"/>
  <c r="F26" i="2"/>
  <c r="C29" i="2"/>
  <c r="B22" i="2"/>
  <c r="F31" i="2"/>
  <c r="G28" i="2"/>
  <c r="E26" i="2"/>
</calcChain>
</file>

<file path=xl/sharedStrings.xml><?xml version="1.0" encoding="utf-8"?>
<sst xmlns="http://schemas.openxmlformats.org/spreadsheetml/2006/main" count="191" uniqueCount="77">
  <si>
    <t>Input Information</t>
  </si>
  <si>
    <t>Average Salary</t>
  </si>
  <si>
    <t>Percentage for each year of service</t>
  </si>
  <si>
    <t>Early retirement reduction percentage</t>
  </si>
  <si>
    <t>Retirement Benefit at Each Retirement Age</t>
  </si>
  <si>
    <t>Years of
Service</t>
  </si>
  <si>
    <t>Retirement Age</t>
  </si>
  <si>
    <t>Late retirment increase percentage</t>
  </si>
  <si>
    <t>Normal retirement age</t>
  </si>
  <si>
    <t>Early retirement eligibility provisions</t>
  </si>
  <si>
    <t>Age requirement for early retirement</t>
  </si>
  <si>
    <t>Service requirement for early retirement</t>
  </si>
  <si>
    <t>defaults</t>
  </si>
  <si>
    <t>Employee Database</t>
  </si>
  <si>
    <t>ID</t>
  </si>
  <si>
    <t>Company Code</t>
  </si>
  <si>
    <t>Current Salary</t>
  </si>
  <si>
    <t>Prior Salary</t>
  </si>
  <si>
    <t xml:space="preserve">Age </t>
  </si>
  <si>
    <t xml:space="preserve">Service </t>
  </si>
  <si>
    <t>Status Code</t>
  </si>
  <si>
    <t>Prior Status</t>
  </si>
  <si>
    <t>A</t>
  </si>
  <si>
    <t>R</t>
  </si>
  <si>
    <t>V</t>
  </si>
  <si>
    <t>T</t>
  </si>
  <si>
    <t>Highlighted cells for ages are the only input cells</t>
  </si>
  <si>
    <t>Age Breakpoint</t>
  </si>
  <si>
    <t>Age is</t>
  </si>
  <si>
    <t>at least</t>
  </si>
  <si>
    <t>but</t>
  </si>
  <si>
    <t>less than</t>
  </si>
  <si>
    <t>Age</t>
  </si>
  <si>
    <t>Count</t>
  </si>
  <si>
    <t>(Actives Only)</t>
  </si>
  <si>
    <t>Total Salary</t>
  </si>
  <si>
    <t>Total</t>
  </si>
  <si>
    <t>Grading Policy</t>
  </si>
  <si>
    <t>Grade</t>
  </si>
  <si>
    <t>Percentage</t>
  </si>
  <si>
    <t>to</t>
  </si>
  <si>
    <t>A-</t>
  </si>
  <si>
    <t>B+</t>
  </si>
  <si>
    <t>B</t>
  </si>
  <si>
    <t>B-</t>
  </si>
  <si>
    <t>C+</t>
  </si>
  <si>
    <t>C</t>
  </si>
  <si>
    <t>C-</t>
  </si>
  <si>
    <t>D</t>
  </si>
  <si>
    <t>F</t>
  </si>
  <si>
    <t>Quizzes</t>
  </si>
  <si>
    <t>Homework</t>
  </si>
  <si>
    <t>Name</t>
  </si>
  <si>
    <t>Points</t>
  </si>
  <si>
    <t>Final</t>
  </si>
  <si>
    <t>Mid-Term</t>
  </si>
  <si>
    <t>Klendshoj,Roxanne L</t>
  </si>
  <si>
    <t>Doll Woolley,Jeanne M</t>
  </si>
  <si>
    <t>Bartho,Jerome F</t>
  </si>
  <si>
    <t>Benson,Scott G</t>
  </si>
  <si>
    <t>Aho,Diane M</t>
  </si>
  <si>
    <t>Larson,DeeAnn S</t>
  </si>
  <si>
    <t>Nelson,Susann K</t>
  </si>
  <si>
    <t>Asche,Tracy A</t>
  </si>
  <si>
    <t>Carlson,Robert L</t>
  </si>
  <si>
    <t>Donovan,Richard G</t>
  </si>
  <si>
    <t>Shapiro,Susan R</t>
  </si>
  <si>
    <t>Johnson,Bruce D</t>
  </si>
  <si>
    <t>Student Grade Report</t>
  </si>
  <si>
    <t>Student Name</t>
  </si>
  <si>
    <t>Total Point Available</t>
  </si>
  <si>
    <t>Total Earned Points</t>
  </si>
  <si>
    <t>Achieved Percentage</t>
  </si>
  <si>
    <t>Letter Grade</t>
  </si>
  <si>
    <t>Midterm</t>
  </si>
  <si>
    <t>Quiz</t>
  </si>
  <si>
    <t>Distribution by Age with total and 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</si>
</sst>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124">
    <xf numFmtId="0" fontId="0" fillId="0" borderId="0" xfId="0"/>
    <xf numFmtId="0" fontId="4" fillId="0" borderId="0" xfId="2" applyNumberFormat="1" applyFont="1" applyFill="1" applyBorder="1"/>
    <xf numFmtId="0" fontId="6" fillId="0" borderId="0" xfId="0" applyFont="1"/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164" fontId="4" fillId="0" borderId="14" xfId="1" applyNumberFormat="1" applyFont="1" applyBorder="1"/>
    <xf numFmtId="0" fontId="5" fillId="0" borderId="0" xfId="0" applyFont="1" applyBorder="1"/>
    <xf numFmtId="0" fontId="8" fillId="0" borderId="0" xfId="0" applyFont="1" applyBorder="1" applyAlignment="1">
      <alignment horizontal="left" indent="2"/>
    </xf>
    <xf numFmtId="0" fontId="8" fillId="0" borderId="4" xfId="0" applyFont="1" applyBorder="1" applyAlignment="1">
      <alignment horizontal="left" indent="2"/>
    </xf>
    <xf numFmtId="0" fontId="4" fillId="0" borderId="9" xfId="0" applyFont="1" applyBorder="1"/>
    <xf numFmtId="0" fontId="5" fillId="0" borderId="10" xfId="0" applyFont="1" applyBorder="1"/>
    <xf numFmtId="0" fontId="8" fillId="0" borderId="9" xfId="0" applyFont="1" applyBorder="1" applyAlignment="1">
      <alignment horizontal="left" indent="2"/>
    </xf>
    <xf numFmtId="0" fontId="10" fillId="0" borderId="0" xfId="0" applyFont="1"/>
    <xf numFmtId="0" fontId="6" fillId="0" borderId="0" xfId="2" applyNumberFormat="1" applyFont="1" applyFill="1" applyBorder="1"/>
    <xf numFmtId="0" fontId="11" fillId="0" borderId="0" xfId="3"/>
    <xf numFmtId="164" fontId="0" fillId="0" borderId="0" xfId="4" applyNumberFormat="1" applyFont="1"/>
    <xf numFmtId="0" fontId="13" fillId="7" borderId="14" xfId="3" applyFont="1" applyFill="1" applyBorder="1" applyAlignment="1">
      <alignment horizontal="center"/>
    </xf>
    <xf numFmtId="0" fontId="13" fillId="7" borderId="17" xfId="3" applyFont="1" applyFill="1" applyBorder="1" applyAlignment="1">
      <alignment horizontal="center"/>
    </xf>
    <xf numFmtId="0" fontId="13" fillId="7" borderId="15" xfId="3" applyFont="1" applyFill="1" applyBorder="1" applyAlignment="1">
      <alignment horizontal="center"/>
    </xf>
    <xf numFmtId="0" fontId="11" fillId="8" borderId="16" xfId="3" applyFill="1" applyBorder="1" applyAlignment="1">
      <alignment horizontal="center"/>
    </xf>
    <xf numFmtId="164" fontId="0" fillId="8" borderId="16" xfId="4" applyNumberFormat="1" applyFont="1" applyFill="1" applyBorder="1"/>
    <xf numFmtId="0" fontId="6" fillId="0" borderId="0" xfId="0" applyFont="1" applyAlignment="1">
      <alignment vertical="center"/>
    </xf>
    <xf numFmtId="164" fontId="5" fillId="0" borderId="0" xfId="1" applyNumberFormat="1" applyFont="1" applyBorder="1" applyAlignment="1">
      <alignment vertic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4" fontId="5" fillId="0" borderId="10" xfId="1" applyNumberFormat="1" applyFont="1" applyBorder="1" applyAlignment="1">
      <alignment horizontal="center"/>
    </xf>
    <xf numFmtId="43" fontId="5" fillId="0" borderId="11" xfId="0" applyNumberFormat="1" applyFont="1" applyBorder="1" applyAlignment="1">
      <alignment horizontal="center"/>
    </xf>
    <xf numFmtId="0" fontId="1" fillId="0" borderId="0" xfId="5"/>
    <xf numFmtId="0" fontId="14" fillId="0" borderId="1" xfId="5" applyFont="1" applyBorder="1" applyAlignment="1">
      <alignment horizontal="left" vertical="top" wrapText="1"/>
    </xf>
    <xf numFmtId="0" fontId="13" fillId="0" borderId="18" xfId="5" applyFont="1" applyBorder="1" applyAlignment="1">
      <alignment horizontal="center" vertical="top" wrapText="1"/>
    </xf>
    <xf numFmtId="0" fontId="1" fillId="0" borderId="3" xfId="5" applyBorder="1"/>
    <xf numFmtId="0" fontId="13" fillId="0" borderId="4" xfId="5" applyFont="1" applyBorder="1" applyAlignment="1">
      <alignment horizontal="left" vertical="top" wrapText="1"/>
    </xf>
    <xf numFmtId="0" fontId="15" fillId="0" borderId="0" xfId="5" applyFont="1" applyAlignment="1">
      <alignment horizontal="center" vertical="top" wrapText="1"/>
    </xf>
    <xf numFmtId="10" fontId="15" fillId="0" borderId="0" xfId="5" applyNumberFormat="1" applyFont="1" applyAlignment="1">
      <alignment horizontal="right" vertical="top" wrapText="1"/>
    </xf>
    <xf numFmtId="165" fontId="15" fillId="0" borderId="0" xfId="5" applyNumberFormat="1" applyFont="1" applyAlignment="1">
      <alignment horizontal="left" vertical="top" wrapText="1"/>
    </xf>
    <xf numFmtId="0" fontId="13" fillId="0" borderId="5" xfId="5" applyFont="1" applyBorder="1" applyAlignment="1">
      <alignment horizontal="left" vertical="top" wrapText="1"/>
    </xf>
    <xf numFmtId="10" fontId="15" fillId="0" borderId="0" xfId="5" applyNumberFormat="1" applyFont="1" applyAlignment="1">
      <alignment horizontal="left" vertical="top" wrapText="1"/>
    </xf>
    <xf numFmtId="0" fontId="13" fillId="0" borderId="6" xfId="5" applyFont="1" applyBorder="1" applyAlignment="1">
      <alignment horizontal="left" vertical="top" wrapText="1"/>
    </xf>
    <xf numFmtId="0" fontId="15" fillId="0" borderId="7" xfId="5" applyFont="1" applyBorder="1" applyAlignment="1">
      <alignment horizontal="center" vertical="top" wrapText="1"/>
    </xf>
    <xf numFmtId="10" fontId="15" fillId="0" borderId="7" xfId="5" applyNumberFormat="1" applyFont="1" applyBorder="1" applyAlignment="1">
      <alignment horizontal="right" vertical="top" wrapText="1"/>
    </xf>
    <xf numFmtId="10" fontId="15" fillId="0" borderId="7" xfId="5" applyNumberFormat="1" applyFont="1" applyBorder="1" applyAlignment="1">
      <alignment horizontal="left" vertical="top" wrapText="1"/>
    </xf>
    <xf numFmtId="0" fontId="13" fillId="0" borderId="8" xfId="5" applyFont="1" applyBorder="1" applyAlignment="1">
      <alignment horizontal="left" vertical="top" wrapText="1"/>
    </xf>
    <xf numFmtId="0" fontId="16" fillId="0" borderId="0" xfId="3" applyFont="1" applyAlignment="1">
      <alignment horizontal="center"/>
    </xf>
    <xf numFmtId="0" fontId="17" fillId="0" borderId="0" xfId="3" applyFont="1"/>
    <xf numFmtId="0" fontId="17" fillId="0" borderId="0" xfId="3" applyFont="1" applyAlignment="1">
      <alignment horizontal="center"/>
    </xf>
    <xf numFmtId="0" fontId="11" fillId="7" borderId="0" xfId="3" applyFill="1"/>
    <xf numFmtId="0" fontId="18" fillId="7" borderId="0" xfId="6" applyFill="1" applyAlignment="1" applyProtection="1"/>
    <xf numFmtId="0" fontId="11" fillId="0" borderId="0" xfId="3" applyAlignment="1">
      <alignment horizontal="center"/>
    </xf>
    <xf numFmtId="0" fontId="11" fillId="7" borderId="0" xfId="3" applyFill="1" applyAlignment="1">
      <alignment horizontal="center"/>
    </xf>
    <xf numFmtId="0" fontId="0" fillId="0" borderId="0" xfId="0" applyAlignment="1">
      <alignment horizontal="right"/>
    </xf>
    <xf numFmtId="0" fontId="0" fillId="0" borderId="4" xfId="0" applyBorder="1"/>
    <xf numFmtId="0" fontId="0" fillId="0" borderId="0" xfId="0" applyBorder="1"/>
    <xf numFmtId="0" fontId="0" fillId="0" borderId="5" xfId="0" applyBorder="1" applyAlignment="1">
      <alignment horizontal="right"/>
    </xf>
    <xf numFmtId="0" fontId="19" fillId="0" borderId="0" xfId="0" applyFont="1" applyBorder="1"/>
    <xf numFmtId="0" fontId="19" fillId="0" borderId="5" xfId="0" applyFont="1" applyBorder="1" applyAlignment="1">
      <alignment horizontal="right" indent="1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right"/>
    </xf>
    <xf numFmtId="0" fontId="6" fillId="3" borderId="5" xfId="0" applyFont="1" applyFill="1" applyBorder="1" applyAlignment="1">
      <alignment horizontal="right" indent="1"/>
    </xf>
    <xf numFmtId="0" fontId="2" fillId="0" borderId="0" xfId="0" applyFont="1" applyBorder="1"/>
    <xf numFmtId="0" fontId="6" fillId="0" borderId="0" xfId="0" applyFont="1" applyBorder="1" applyAlignment="1">
      <alignment horizontal="center"/>
    </xf>
    <xf numFmtId="164" fontId="5" fillId="0" borderId="0" xfId="1" applyNumberFormat="1" applyFont="1" applyBorder="1"/>
    <xf numFmtId="43" fontId="5" fillId="0" borderId="5" xfId="1" applyFont="1" applyBorder="1"/>
    <xf numFmtId="0" fontId="5" fillId="0" borderId="9" xfId="0" applyFont="1" applyBorder="1" applyAlignment="1">
      <alignment horizontal="right" vertical="center"/>
    </xf>
    <xf numFmtId="0" fontId="5" fillId="0" borderId="9" xfId="0" applyFont="1" applyBorder="1"/>
    <xf numFmtId="0" fontId="5" fillId="0" borderId="11" xfId="0" applyFont="1" applyBorder="1"/>
    <xf numFmtId="0" fontId="6" fillId="0" borderId="4" xfId="0" applyFont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Border="1"/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 indent="1"/>
    </xf>
    <xf numFmtId="10" fontId="6" fillId="0" borderId="5" xfId="2" applyNumberFormat="1" applyFont="1" applyBorder="1" applyAlignment="1">
      <alignment horizontal="right" inden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14" fillId="11" borderId="9" xfId="5" applyFont="1" applyFill="1" applyBorder="1" applyAlignment="1">
      <alignment horizontal="center" vertical="top" wrapText="1"/>
    </xf>
    <xf numFmtId="0" fontId="14" fillId="11" borderId="10" xfId="5" applyFont="1" applyFill="1" applyBorder="1" applyAlignment="1">
      <alignment horizontal="center" vertical="top" wrapText="1"/>
    </xf>
    <xf numFmtId="0" fontId="14" fillId="11" borderId="11" xfId="5" applyFont="1" applyFill="1" applyBorder="1" applyAlignment="1">
      <alignment horizontal="center" vertical="top" wrapText="1"/>
    </xf>
    <xf numFmtId="0" fontId="13" fillId="0" borderId="18" xfId="5" applyFont="1" applyBorder="1" applyAlignment="1">
      <alignment horizontal="center" vertical="top" wrapText="1"/>
    </xf>
    <xf numFmtId="0" fontId="16" fillId="0" borderId="19" xfId="3" applyFont="1" applyBorder="1" applyAlignment="1">
      <alignment horizontal="center"/>
    </xf>
    <xf numFmtId="0" fontId="12" fillId="0" borderId="0" xfId="3" applyFont="1" applyAlignment="1">
      <alignment horizontal="center"/>
    </xf>
    <xf numFmtId="3" fontId="4" fillId="3" borderId="11" xfId="0" applyNumberFormat="1" applyFont="1" applyFill="1" applyBorder="1" applyProtection="1">
      <protection locked="0"/>
    </xf>
    <xf numFmtId="10" fontId="4" fillId="3" borderId="11" xfId="2" applyNumberFormat="1" applyFont="1" applyFill="1" applyBorder="1" applyProtection="1">
      <protection locked="0"/>
    </xf>
    <xf numFmtId="0" fontId="4" fillId="5" borderId="11" xfId="2" applyNumberFormat="1" applyFont="1" applyFill="1" applyBorder="1" applyProtection="1">
      <protection locked="0"/>
    </xf>
    <xf numFmtId="0" fontId="4" fillId="0" borderId="11" xfId="2" applyNumberFormat="1" applyFont="1" applyFill="1" applyBorder="1" applyProtection="1">
      <protection locked="0"/>
    </xf>
  </cellXfs>
  <cellStyles count="7">
    <cellStyle name="Comma" xfId="1" builtinId="3"/>
    <cellStyle name="Comma 2" xfId="4" xr:uid="{6827C7C0-1834-440D-A023-6D8C526C2829}"/>
    <cellStyle name="Hyperlink 2" xfId="6" xr:uid="{89872ADD-40DC-4D86-A2B3-29798B860F05}"/>
    <cellStyle name="Normal" xfId="0" builtinId="0"/>
    <cellStyle name="Normal 2" xfId="3" xr:uid="{8B028D5A-2D3F-4425-8B22-AA3CD6C3ECB0}"/>
    <cellStyle name="Normal 4" xfId="5" xr:uid="{E4C2A9C0-B476-4A15-A17E-703710B07D4C}"/>
    <cellStyle name="Percent" xfId="2" builtinId="5"/>
  </cellStyles>
  <dxfs count="2">
    <dxf>
      <font>
        <b/>
        <i val="0"/>
        <color rgb="FF0070C0"/>
      </font>
      <fill>
        <patternFill>
          <bgColor theme="7" tint="0.79998168889431442"/>
        </patternFill>
      </fill>
    </dxf>
    <dxf>
      <font>
        <b/>
        <i val="0"/>
        <color theme="9" tint="-0.24994659260841701"/>
      </font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uodong/Pension/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m1jk7r/Documents/Guodong%20on%20C/Excel/Excel/201/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Review%201/H/Private%20-%20Li/Pleasure/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Guodong/Pension/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Review%201/H/Maryville/Maryville%20-%20Key%20Files/ACSC%20201%20and%20301/Tests%20and%20Exams/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Review/Pending/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6164-1D78-4E13-AD60-B176BE0309DB}">
  <dimension ref="B1:H32"/>
  <sheetViews>
    <sheetView showGridLines="0" tabSelected="1" workbookViewId="0">
      <pane ySplit="23" topLeftCell="A24" activePane="bottomLeft" state="frozen"/>
      <selection pane="bottomLeft"/>
    </sheetView>
  </sheetViews>
  <sheetFormatPr defaultRowHeight="15" x14ac:dyDescent="0.25"/>
  <cols>
    <col min="1" max="1" width="3" customWidth="1"/>
    <col min="2" max="2" width="21.140625" customWidth="1"/>
    <col min="3" max="3" width="14.5703125" bestFit="1" customWidth="1"/>
    <col min="4" max="4" width="14.5703125" customWidth="1"/>
    <col min="5" max="7" width="14.5703125" bestFit="1" customWidth="1"/>
    <col min="8" max="8" width="15" customWidth="1"/>
    <col min="9" max="9" width="4" customWidth="1"/>
  </cols>
  <sheetData>
    <row r="1" spans="2:8" ht="15.75" thickBot="1" x14ac:dyDescent="0.3"/>
    <row r="2" spans="2:8" ht="24" thickBot="1" x14ac:dyDescent="0.3">
      <c r="B2" s="79" t="s">
        <v>0</v>
      </c>
      <c r="C2" s="80"/>
      <c r="D2" s="80"/>
      <c r="E2" s="80"/>
      <c r="F2" s="80"/>
      <c r="G2" s="80"/>
      <c r="H2" s="81"/>
    </row>
    <row r="3" spans="2:8" ht="19.5" thickBot="1" x14ac:dyDescent="0.35">
      <c r="B3" s="9" t="s">
        <v>1</v>
      </c>
      <c r="C3" s="10"/>
      <c r="D3" s="10"/>
      <c r="E3" s="10"/>
      <c r="F3" s="10"/>
      <c r="G3" s="10"/>
      <c r="H3" s="120">
        <v>60000</v>
      </c>
    </row>
    <row r="4" spans="2:8" ht="19.5" thickBot="1" x14ac:dyDescent="0.35">
      <c r="B4" s="9" t="s">
        <v>2</v>
      </c>
      <c r="C4" s="10"/>
      <c r="D4" s="10"/>
      <c r="E4" s="10"/>
      <c r="F4" s="10"/>
      <c r="G4" s="10"/>
      <c r="H4" s="121">
        <v>0.03</v>
      </c>
    </row>
    <row r="5" spans="2:8" ht="19.5" thickBot="1" x14ac:dyDescent="0.35">
      <c r="B5" s="9" t="s">
        <v>3</v>
      </c>
      <c r="C5" s="10"/>
      <c r="D5" s="10"/>
      <c r="E5" s="10"/>
      <c r="F5" s="10"/>
      <c r="G5" s="10"/>
      <c r="H5" s="121">
        <v>0.04</v>
      </c>
    </row>
    <row r="6" spans="2:8" ht="19.5" thickBot="1" x14ac:dyDescent="0.35">
      <c r="B6" s="9" t="s">
        <v>7</v>
      </c>
      <c r="C6" s="10"/>
      <c r="D6" s="10"/>
      <c r="E6" s="10"/>
      <c r="F6" s="10"/>
      <c r="G6" s="10"/>
      <c r="H6" s="121">
        <v>0.05</v>
      </c>
    </row>
    <row r="7" spans="2:8" ht="19.5" thickBot="1" x14ac:dyDescent="0.35">
      <c r="B7" s="9" t="s">
        <v>8</v>
      </c>
      <c r="C7" s="10"/>
      <c r="D7" s="10"/>
      <c r="E7" s="10"/>
      <c r="F7" s="10"/>
      <c r="G7" s="10"/>
      <c r="H7" s="122">
        <v>65</v>
      </c>
    </row>
    <row r="8" spans="2:8" ht="19.5" thickBot="1" x14ac:dyDescent="0.35">
      <c r="B8" s="9" t="s">
        <v>9</v>
      </c>
      <c r="C8" s="10"/>
      <c r="D8" s="10"/>
      <c r="E8" s="10"/>
      <c r="F8" s="10"/>
      <c r="G8" s="10"/>
      <c r="H8" s="123"/>
    </row>
    <row r="9" spans="2:8" ht="19.5" thickBot="1" x14ac:dyDescent="0.35">
      <c r="B9" s="8" t="s">
        <v>10</v>
      </c>
      <c r="C9" s="6"/>
      <c r="D9" s="6"/>
      <c r="E9" s="6"/>
      <c r="F9" s="6"/>
      <c r="G9" s="6"/>
      <c r="H9" s="122">
        <v>55</v>
      </c>
    </row>
    <row r="10" spans="2:8" ht="19.5" thickBot="1" x14ac:dyDescent="0.35">
      <c r="B10" s="11" t="s">
        <v>11</v>
      </c>
      <c r="C10" s="10"/>
      <c r="D10" s="10"/>
      <c r="E10" s="10"/>
      <c r="F10" s="10"/>
      <c r="G10" s="10"/>
      <c r="H10" s="122">
        <v>15</v>
      </c>
    </row>
    <row r="11" spans="2:8" ht="11.25" customHeight="1" thickBot="1" x14ac:dyDescent="0.35">
      <c r="B11" s="7"/>
      <c r="C11" s="6"/>
      <c r="D11" s="6"/>
      <c r="E11" s="6"/>
      <c r="F11" s="6"/>
      <c r="G11" s="6"/>
      <c r="H11" s="1"/>
    </row>
    <row r="12" spans="2:8" ht="15.75" hidden="1" x14ac:dyDescent="0.25">
      <c r="B12" s="12" t="s">
        <v>12</v>
      </c>
      <c r="C12" s="2"/>
      <c r="D12" s="2"/>
      <c r="E12" s="2"/>
      <c r="F12" s="2"/>
      <c r="G12" s="2"/>
      <c r="H12" s="13"/>
    </row>
    <row r="13" spans="2:8" ht="15.75" hidden="1" x14ac:dyDescent="0.25">
      <c r="B13" s="2" t="s">
        <v>1</v>
      </c>
      <c r="C13" s="2"/>
      <c r="D13" s="2"/>
      <c r="E13" s="2"/>
      <c r="F13" s="2"/>
      <c r="G13" s="2"/>
      <c r="H13" s="13">
        <f>IF(ISBLANK(H3),60000,H3)</f>
        <v>60000</v>
      </c>
    </row>
    <row r="14" spans="2:8" ht="15.75" hidden="1" x14ac:dyDescent="0.25">
      <c r="B14" s="2" t="s">
        <v>2</v>
      </c>
      <c r="C14" s="2"/>
      <c r="D14" s="2"/>
      <c r="E14" s="2"/>
      <c r="F14" s="2"/>
      <c r="G14" s="2"/>
      <c r="H14" s="13">
        <f>IF(ISBLANK(H4),0.03,H4)</f>
        <v>0.03</v>
      </c>
    </row>
    <row r="15" spans="2:8" ht="15.75" hidden="1" x14ac:dyDescent="0.25">
      <c r="B15" s="2" t="s">
        <v>3</v>
      </c>
      <c r="C15" s="2"/>
      <c r="D15" s="2"/>
      <c r="E15" s="2"/>
      <c r="F15" s="2"/>
      <c r="G15" s="2"/>
      <c r="H15" s="13">
        <f>IF(ISBLANK(H5),0.04,H5)</f>
        <v>0.04</v>
      </c>
    </row>
    <row r="16" spans="2:8" ht="15.75" hidden="1" x14ac:dyDescent="0.25">
      <c r="B16" s="2" t="s">
        <v>7</v>
      </c>
      <c r="C16" s="2"/>
      <c r="D16" s="2"/>
      <c r="E16" s="2"/>
      <c r="F16" s="2"/>
      <c r="G16" s="2"/>
      <c r="H16" s="13">
        <f>IF(ISBLANK(H6),0.05,H6)</f>
        <v>0.05</v>
      </c>
    </row>
    <row r="17" spans="2:8" ht="15.75" hidden="1" x14ac:dyDescent="0.25">
      <c r="B17" s="2" t="s">
        <v>8</v>
      </c>
      <c r="C17" s="2"/>
      <c r="D17" s="2"/>
      <c r="E17" s="2"/>
      <c r="F17" s="2"/>
      <c r="G17" s="2"/>
      <c r="H17" s="13">
        <f>IF(ISBLANK(H7),65,H7)</f>
        <v>65</v>
      </c>
    </row>
    <row r="18" spans="2:8" ht="15.75" hidden="1" x14ac:dyDescent="0.25">
      <c r="B18" s="2" t="s">
        <v>10</v>
      </c>
      <c r="C18" s="2"/>
      <c r="D18" s="2"/>
      <c r="E18" s="2"/>
      <c r="F18" s="2"/>
      <c r="G18" s="2"/>
      <c r="H18" s="13">
        <f>IF(ISBLANK(H9),55,H9)</f>
        <v>55</v>
      </c>
    </row>
    <row r="19" spans="2:8" ht="15.75" hidden="1" x14ac:dyDescent="0.25">
      <c r="B19" s="2" t="s">
        <v>11</v>
      </c>
      <c r="C19" s="2"/>
      <c r="D19" s="2"/>
      <c r="E19" s="2"/>
      <c r="F19" s="2"/>
      <c r="G19" s="2"/>
      <c r="H19" s="13">
        <f>IF(ISBLANK(H10),10,H10)</f>
        <v>15</v>
      </c>
    </row>
    <row r="20" spans="2:8" ht="16.5" hidden="1" thickBot="1" x14ac:dyDescent="0.3">
      <c r="B20" s="2"/>
      <c r="C20" s="2"/>
      <c r="D20" s="2"/>
      <c r="E20" s="2"/>
      <c r="F20" s="2"/>
      <c r="G20" s="2"/>
      <c r="H20" s="2"/>
    </row>
    <row r="21" spans="2:8" ht="23.25" customHeight="1" thickBot="1" x14ac:dyDescent="0.3">
      <c r="B21" s="82" t="s">
        <v>4</v>
      </c>
      <c r="C21" s="83"/>
      <c r="D21" s="83"/>
      <c r="E21" s="83"/>
      <c r="F21" s="83"/>
      <c r="G21" s="83"/>
      <c r="H21" s="84"/>
    </row>
    <row r="22" spans="2:8" ht="21" x14ac:dyDescent="0.25">
      <c r="B22" s="90" t="str">
        <f>"Normal Retirement Age: "&amp;H17</f>
        <v>Normal Retirement Age: 65</v>
      </c>
      <c r="C22" s="91"/>
      <c r="D22" s="91"/>
      <c r="E22" s="91"/>
      <c r="F22" s="91"/>
      <c r="G22" s="91"/>
      <c r="H22" s="92"/>
    </row>
    <row r="23" spans="2:8" ht="21.75" thickBot="1" x14ac:dyDescent="0.3">
      <c r="B23" s="93" t="str">
        <f>"Early Retirement Requirements: Age "&amp;H18&amp;" with 10 years of Service"</f>
        <v>Early Retirement Requirements: Age 55 with 10 years of Service</v>
      </c>
      <c r="C23" s="94"/>
      <c r="D23" s="94"/>
      <c r="E23" s="94"/>
      <c r="F23" s="94"/>
      <c r="G23" s="94"/>
      <c r="H23" s="95"/>
    </row>
    <row r="24" spans="2:8" ht="19.5" thickBot="1" x14ac:dyDescent="0.3">
      <c r="B24" s="85" t="s">
        <v>5</v>
      </c>
      <c r="C24" s="87" t="s">
        <v>6</v>
      </c>
      <c r="D24" s="88"/>
      <c r="E24" s="88"/>
      <c r="F24" s="88"/>
      <c r="G24" s="88"/>
      <c r="H24" s="89"/>
    </row>
    <row r="25" spans="2:8" ht="19.5" thickBot="1" x14ac:dyDescent="0.3">
      <c r="B25" s="86"/>
      <c r="C25" s="3">
        <v>70</v>
      </c>
      <c r="D25" s="3">
        <v>65</v>
      </c>
      <c r="E25" s="3">
        <v>62</v>
      </c>
      <c r="F25" s="3">
        <v>60</v>
      </c>
      <c r="G25" s="3">
        <v>55</v>
      </c>
      <c r="H25" s="3">
        <v>50</v>
      </c>
    </row>
    <row r="26" spans="2:8" ht="19.5" thickBot="1" x14ac:dyDescent="0.35">
      <c r="B26" s="4">
        <v>5</v>
      </c>
      <c r="C26" s="5">
        <f t="shared" ref="C26:H26" si="0">IF(C$25&gt;=$H$17,
$H$13*$H$14*$B26*(1-$H$16*($H$17-C$25)),
IF(OR(C$25&lt;$H$18,$B26&lt;$H$19),0,$H$13*$H$14*$B26*(1-$H$15*($H$17-C$25))))</f>
        <v>11250</v>
      </c>
      <c r="D26" s="5">
        <f>IF(D$25&gt;=$H$17,
$H$13*$H$14*$B26*(1-$H$16*($H$17-D$25)),
IF(OR(D$25&lt;$H$18,$B26&lt;$H$19),0,$H$13*$H$14*$B26*(1-$H$15*($H$17-D$25))))</f>
        <v>9000</v>
      </c>
      <c r="E26" s="5">
        <f t="shared" si="0"/>
        <v>0</v>
      </c>
      <c r="F26" s="5">
        <f t="shared" si="0"/>
        <v>0</v>
      </c>
      <c r="G26" s="5">
        <f t="shared" si="0"/>
        <v>0</v>
      </c>
      <c r="H26" s="5">
        <f t="shared" si="0"/>
        <v>0</v>
      </c>
    </row>
    <row r="27" spans="2:8" ht="19.5" thickBot="1" x14ac:dyDescent="0.35">
      <c r="B27" s="4">
        <v>10</v>
      </c>
      <c r="C27" s="5">
        <f t="shared" ref="C27:G32" si="1">IF(C$25&gt;=$H$17,
$H$13*$H$14*$B27*(1-$H$16*($H$17-C$25)),
IF(OR(C$25&lt;$H$18,$B27&lt;$H$19),0,$H$13*$H$14*$B27*(1-$H$15*($H$17-C$25))))</f>
        <v>22500</v>
      </c>
      <c r="D27" s="5">
        <f t="shared" si="1"/>
        <v>18000</v>
      </c>
      <c r="E27" s="5">
        <f>IF(E$25&gt;=$H$17,
$H$13*$H$14*$B27*(1-$H$16*($H$17-E$25)),
IF(OR(E$25&lt;$H$18,$B27&lt;$H$19),0,$H$13*$H$14*$B27*(1-$H$15*($H$17-E$25))))</f>
        <v>0</v>
      </c>
      <c r="F27" s="5">
        <f t="shared" si="1"/>
        <v>0</v>
      </c>
      <c r="G27" s="5">
        <f t="shared" si="1"/>
        <v>0</v>
      </c>
      <c r="H27" s="5">
        <f t="shared" ref="H27:H31" si="2">IF(H$25&gt;=$H$17,
$H$13*$H$14*$B27*(1-$H$16*($H$17-H$25)),
IF(OR(H$25&lt;$H$18,$B27&lt;$H$19),0,$H$13*$H$14*$B27*(1-$H$15*($H$17-H$25))))</f>
        <v>0</v>
      </c>
    </row>
    <row r="28" spans="2:8" ht="19.5" thickBot="1" x14ac:dyDescent="0.35">
      <c r="B28" s="4">
        <v>15</v>
      </c>
      <c r="C28" s="5">
        <f t="shared" si="1"/>
        <v>33750</v>
      </c>
      <c r="D28" s="5">
        <f t="shared" si="1"/>
        <v>27000</v>
      </c>
      <c r="E28" s="5">
        <f t="shared" si="1"/>
        <v>23760</v>
      </c>
      <c r="F28" s="5">
        <f t="shared" si="1"/>
        <v>21600</v>
      </c>
      <c r="G28" s="5">
        <f t="shared" si="1"/>
        <v>16200</v>
      </c>
      <c r="H28" s="5">
        <f t="shared" si="2"/>
        <v>0</v>
      </c>
    </row>
    <row r="29" spans="2:8" ht="19.5" thickBot="1" x14ac:dyDescent="0.35">
      <c r="B29" s="4">
        <v>20</v>
      </c>
      <c r="C29" s="5">
        <f t="shared" si="1"/>
        <v>45000</v>
      </c>
      <c r="D29" s="5">
        <f t="shared" si="1"/>
        <v>36000</v>
      </c>
      <c r="E29" s="5">
        <f t="shared" si="1"/>
        <v>31680</v>
      </c>
      <c r="F29" s="5">
        <f t="shared" si="1"/>
        <v>28800</v>
      </c>
      <c r="G29" s="5">
        <f t="shared" si="1"/>
        <v>21600</v>
      </c>
      <c r="H29" s="5">
        <f t="shared" si="2"/>
        <v>0</v>
      </c>
    </row>
    <row r="30" spans="2:8" ht="19.5" thickBot="1" x14ac:dyDescent="0.35">
      <c r="B30" s="4">
        <v>25</v>
      </c>
      <c r="C30" s="5">
        <f t="shared" si="1"/>
        <v>56250</v>
      </c>
      <c r="D30" s="5">
        <f t="shared" si="1"/>
        <v>45000</v>
      </c>
      <c r="E30" s="5">
        <f t="shared" si="1"/>
        <v>39600</v>
      </c>
      <c r="F30" s="5">
        <f t="shared" si="1"/>
        <v>36000</v>
      </c>
      <c r="G30" s="5">
        <f t="shared" si="1"/>
        <v>27000</v>
      </c>
      <c r="H30" s="5">
        <f t="shared" si="2"/>
        <v>0</v>
      </c>
    </row>
    <row r="31" spans="2:8" ht="19.5" thickBot="1" x14ac:dyDescent="0.35">
      <c r="B31" s="4">
        <v>30</v>
      </c>
      <c r="C31" s="5">
        <f t="shared" si="1"/>
        <v>67500</v>
      </c>
      <c r="D31" s="5">
        <f t="shared" si="1"/>
        <v>54000</v>
      </c>
      <c r="E31" s="5">
        <f t="shared" si="1"/>
        <v>47520</v>
      </c>
      <c r="F31" s="5">
        <f t="shared" si="1"/>
        <v>43200</v>
      </c>
      <c r="G31" s="5">
        <f t="shared" si="1"/>
        <v>32400</v>
      </c>
      <c r="H31" s="5">
        <f t="shared" si="2"/>
        <v>0</v>
      </c>
    </row>
    <row r="32" spans="2:8" ht="19.5" thickBot="1" x14ac:dyDescent="0.35">
      <c r="B32" s="4">
        <v>35</v>
      </c>
      <c r="C32" s="5">
        <f t="shared" si="1"/>
        <v>78750</v>
      </c>
      <c r="D32" s="5">
        <f t="shared" si="1"/>
        <v>63000</v>
      </c>
      <c r="E32" s="5">
        <f t="shared" si="1"/>
        <v>55440</v>
      </c>
      <c r="F32" s="5">
        <f t="shared" si="1"/>
        <v>50400</v>
      </c>
      <c r="G32" s="5">
        <f t="shared" si="1"/>
        <v>37800</v>
      </c>
      <c r="H32" s="5">
        <f>IF(H$25&gt;=$H$17,
$H$13*$H$14*$B32*(1-$H$16*($H$17-H$25)),
IF(OR(H$25&lt;$H$18,$B32&lt;$H$19),0,$H$13*$H$14*$B32*(1-$H$15*($H$17-H$25))))</f>
        <v>0</v>
      </c>
    </row>
  </sheetData>
  <mergeCells count="6">
    <mergeCell ref="B2:H2"/>
    <mergeCell ref="B21:H21"/>
    <mergeCell ref="B24:B25"/>
    <mergeCell ref="C24:H24"/>
    <mergeCell ref="B22:H22"/>
    <mergeCell ref="B23:H23"/>
  </mergeCells>
  <conditionalFormatting sqref="C26:H32">
    <cfRule type="expression" dxfId="1" priority="1">
      <formula>C26/$H$13&gt;=0.8</formula>
    </cfRule>
    <cfRule type="expression" dxfId="0" priority="2">
      <formula>AND(C26/$H$13&gt;0.5, C26/$H$13&lt;1)</formula>
    </cfRule>
  </conditionalFormatting>
  <dataValidations xWindow="697" yWindow="341" count="8">
    <dataValidation type="decimal" allowBlank="1" showInputMessage="1" showErrorMessage="1" promptTitle="Percentage for Years of Service" prompt="It should be a number between 0 and 100. The default is 3." sqref="H4" xr:uid="{EC033C50-9D11-42D0-8B3F-5EBBE9FB6348}">
      <formula1>0</formula1>
      <formula2>0.99</formula2>
    </dataValidation>
    <dataValidation type="decimal" allowBlank="1" showInputMessage="1" showErrorMessage="1" promptTitle="Early Retirement Reduction" prompt="It should be a number between 0 and 100. The default is 5." sqref="H6" xr:uid="{5D591587-E471-457E-99AE-3C27DFB457BA}">
      <formula1>0</formula1>
      <formula2>0.99</formula2>
    </dataValidation>
    <dataValidation type="decimal" operator="greaterThan" allowBlank="1" showInputMessage="1" showErrorMessage="1" promptTitle="Average Salary" prompt="It should be a number greater than 0, without commas. The default is 60000." sqref="H3" xr:uid="{A393FF35-B5DF-4AC4-B341-99F551DF7E89}">
      <formula1>0</formula1>
    </dataValidation>
    <dataValidation type="whole" allowBlank="1" showInputMessage="1" showErrorMessage="1" promptTitle="The Rule" prompt="It should be a whole number between 65 and 100. The default is 85." sqref="H11" xr:uid="{34A6353B-FDA9-44F6-9681-3647071EC1DC}">
      <formula1>65</formula1>
      <formula2>100</formula2>
    </dataValidation>
    <dataValidation type="whole" allowBlank="1" showInputMessage="1" showErrorMessage="1" promptTitle="Normal Retirement Age" prompt="It should be a whole number between 40 and 70. The default is 65." sqref="H7" xr:uid="{9A830200-85D2-4471-A3F9-3849E9F4438E}">
      <formula1>40</formula1>
      <formula2>70</formula2>
    </dataValidation>
    <dataValidation type="decimal" allowBlank="1" showInputMessage="1" showErrorMessage="1" promptTitle="Early Retirement Reduction" prompt="It should be a number between 0 and 100. The default is 4." sqref="H5" xr:uid="{F9D0EC6D-960A-4A67-8086-DF5A39450D60}">
      <formula1>0</formula1>
      <formula2>0.99</formula2>
    </dataValidation>
    <dataValidation type="whole" allowBlank="1" showInputMessage="1" showErrorMessage="1" promptTitle="Early Retirement Age" prompt="It should be a whole number between 30 and 65. The default is 55" sqref="H9" xr:uid="{C2EEF754-CBAA-4634-8BE1-6A9E7640605E}">
      <formula1>30</formula1>
      <formula2>65</formula2>
    </dataValidation>
    <dataValidation type="whole" operator="greaterThan" allowBlank="1" showInputMessage="1" showErrorMessage="1" promptTitle="Service Requirement" prompt="Needs to be a positive whole number. The default is 10." sqref="H10" xr:uid="{41C4C201-615A-49DB-8A3C-B3AF69279DD7}">
      <formula1>0</formula1>
    </dataValidation>
  </dataValidations>
  <printOptions horizontalCentered="1" verticalCentered="1"/>
  <pageMargins left="0.7" right="0.7" top="0.75" bottom="0.75" header="0.3" footer="0.3"/>
  <pageSetup orientation="landscape" r:id="rId1"/>
  <headerFooter>
    <oddFooter>&amp;L&amp;F
&amp;A&amp;R&amp;D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863B-2EDC-41DB-B4E5-8C66BB810049}">
  <sheetPr>
    <pageSetUpPr fitToPage="1"/>
  </sheetPr>
  <dimension ref="B1:I28"/>
  <sheetViews>
    <sheetView showGridLines="0" workbookViewId="0">
      <pane xSplit="4" ySplit="6" topLeftCell="E7" activePane="bottomRight" state="frozen"/>
      <selection pane="topRight" activeCell="D1" sqref="D1"/>
      <selection pane="bottomLeft" activeCell="A6" sqref="A6"/>
      <selection pane="bottomRight"/>
    </sheetView>
  </sheetViews>
  <sheetFormatPr defaultRowHeight="15" x14ac:dyDescent="0.25"/>
  <cols>
    <col min="1" max="1" width="0.85546875" customWidth="1"/>
    <col min="2" max="2" width="10.5703125" customWidth="1"/>
    <col min="3" max="3" width="4.85546875" customWidth="1"/>
    <col min="4" max="4" width="11.5703125" customWidth="1"/>
    <col min="5" max="5" width="2" customWidth="1"/>
    <col min="6" max="6" width="14.28515625" customWidth="1"/>
    <col min="7" max="7" width="14.7109375" customWidth="1"/>
    <col min="8" max="8" width="17.28515625" customWidth="1"/>
    <col min="9" max="9" width="24.28515625" customWidth="1"/>
  </cols>
  <sheetData>
    <row r="1" spans="2:9" ht="6" customHeight="1" thickBot="1" x14ac:dyDescent="0.3"/>
    <row r="2" spans="2:9" s="21" customFormat="1" ht="19.5" thickBot="1" x14ac:dyDescent="0.3">
      <c r="B2" s="108" t="s">
        <v>26</v>
      </c>
      <c r="C2" s="109"/>
      <c r="D2" s="109"/>
      <c r="E2" s="109"/>
      <c r="F2" s="109"/>
      <c r="G2" s="109"/>
      <c r="H2" s="109"/>
      <c r="I2" s="110"/>
    </row>
    <row r="3" spans="2:9" ht="15.75" thickBot="1" x14ac:dyDescent="0.3"/>
    <row r="4" spans="2:9" ht="18.75" customHeight="1" thickBot="1" x14ac:dyDescent="0.35">
      <c r="B4" s="96" t="s">
        <v>27</v>
      </c>
      <c r="C4" s="97"/>
      <c r="D4" s="98"/>
      <c r="F4" s="102" t="s">
        <v>76</v>
      </c>
      <c r="G4" s="103"/>
      <c r="H4" s="103"/>
      <c r="I4" s="104"/>
    </row>
    <row r="5" spans="2:9" ht="19.5" thickBot="1" x14ac:dyDescent="0.3">
      <c r="B5" s="99" t="s">
        <v>28</v>
      </c>
      <c r="C5" s="100"/>
      <c r="D5" s="101"/>
      <c r="F5" s="105" t="s">
        <v>34</v>
      </c>
      <c r="G5" s="106"/>
      <c r="H5" s="106"/>
      <c r="I5" s="107"/>
    </row>
    <row r="6" spans="2:9" ht="16.5" thickBot="1" x14ac:dyDescent="0.3">
      <c r="B6" s="70" t="s">
        <v>29</v>
      </c>
      <c r="C6" s="65" t="s">
        <v>30</v>
      </c>
      <c r="D6" s="71" t="s">
        <v>31</v>
      </c>
      <c r="F6" s="30" t="s">
        <v>32</v>
      </c>
      <c r="G6" s="28" t="s">
        <v>33</v>
      </c>
      <c r="H6" s="28" t="s">
        <v>35</v>
      </c>
      <c r="I6" s="29" t="s">
        <v>1</v>
      </c>
    </row>
    <row r="7" spans="2:9" ht="15.75" x14ac:dyDescent="0.25">
      <c r="B7" s="72">
        <f>D7-D7</f>
        <v>0</v>
      </c>
      <c r="C7" s="66"/>
      <c r="D7" s="73">
        <v>20</v>
      </c>
      <c r="F7" s="27" t="str">
        <f>IF(AND(OR($B7=0,$B7=""),OR($B8=0,$B8="")),"",IF(OR($B8="",$B8=0),$B7&amp;" &lt;=",IF($B7=0,"&lt; "&amp;$B8,$B7&amp;" - "&amp;$B8)))</f>
        <v>&lt; 20</v>
      </c>
      <c r="G7" s="26">
        <f>IF(AND($B7="",$B8=""),"",IF($B8="",COUNTIFS(EeData!$G:$G,"A",EeData!$E:$E,"&gt;="&amp;$B7),COUNTIFS(EeData!$G:$G,"A",EeData!$E:$E,"&gt;="&amp;$B7,EeData!$E:$E,"&lt;"&amp;$B8)))</f>
        <v>0</v>
      </c>
      <c r="H7" s="67">
        <f>IF(B7="","",IF(D7="",SUMIFS(EeData!C:C,EeData!G:G,"A",EeData!E:E,"&gt;="&amp;B7),SUMIFS(EeData!C:C,EeData!G:G,"A",EeData!E:E,"&gt;="&amp;B7,EeData!E:E,"&lt;"&amp;D7)))</f>
        <v>0</v>
      </c>
      <c r="I7" s="68">
        <f t="shared" ref="I7:I22" si="0">IF(G7 = "", "", IF(G7=0,0,$H7/$G7))</f>
        <v>0</v>
      </c>
    </row>
    <row r="8" spans="2:9" ht="15.75" x14ac:dyDescent="0.25">
      <c r="B8" s="72">
        <f>IF(ISBLANK(D7),"", D7)</f>
        <v>20</v>
      </c>
      <c r="C8" s="66"/>
      <c r="D8" s="73">
        <v>30</v>
      </c>
      <c r="F8" s="27" t="str">
        <f t="shared" ref="F8:F22" si="1">IF(AND(OR($B8=0,$B8=""),OR($B9=0,$B9="")),"",IF(OR($B9="",$B9=0),$B8&amp;" &lt;=",IF($B8=0,"&lt; "&amp;$B9,$B8&amp;" - "&amp;$B9)))</f>
        <v>20 - 30</v>
      </c>
      <c r="G8" s="26">
        <f>IF(AND($B8="",$B9=""),"",IF($B9="",COUNTIFS(EeData!$G:$G,"A",EeData!$E:$E,"&gt;="&amp;$B8),COUNTIFS(EeData!$G:$G,"A",EeData!$E:$E,"&gt;="&amp;$B8,EeData!$E:$E,"&lt;"&amp;$B9)))</f>
        <v>3</v>
      </c>
      <c r="H8" s="67">
        <f>IF(B8="","",IF(D8="",SUMIFS(EeData!C:C,EeData!G:G,"A",EeData!E:E,"&gt;="&amp;B8),SUMIFS(EeData!C:C,EeData!G:G,"A",EeData!E:E,"&gt;="&amp;B8,EeData!E:E,"&lt;"&amp;D8)))</f>
        <v>248000</v>
      </c>
      <c r="I8" s="68">
        <f>IF(G8 = "", "", IF(G8=0,0,$H8/$G8))</f>
        <v>82666.666666666672</v>
      </c>
    </row>
    <row r="9" spans="2:9" ht="17.25" customHeight="1" x14ac:dyDescent="0.25">
      <c r="B9" s="72">
        <f t="shared" ref="B9:B22" si="2">IF(ISBLANK(D8),"", D8)</f>
        <v>30</v>
      </c>
      <c r="C9" s="66"/>
      <c r="D9" s="73">
        <v>40</v>
      </c>
      <c r="F9" s="27" t="str">
        <f>IF(AND(OR($B9=0,$B9=""),OR($B10=0,$B10="")),"",IF(OR($B10="",$B10=0),$B9&amp;" &lt;=",IF($B9=0,"&lt; "&amp;$B10,$B9&amp;" - "&amp;$B10)))</f>
        <v>30 - 40</v>
      </c>
      <c r="G9" s="26">
        <f>IF(AND($B9="",$B10=""),"",IF($B10="",COUNTIFS(EeData!$G:$G,"A",EeData!$E:$E,"&gt;="&amp;$B9),COUNTIFS(EeData!$G:$G,"A",EeData!$E:$E,"&gt;="&amp;$B9,EeData!$E:$E,"&lt;"&amp;$B10)))</f>
        <v>11</v>
      </c>
      <c r="H9" s="67">
        <f>IF(B9="","",IF(D9="",SUMIFS(EeData!C:C,EeData!G:G,"A",EeData!E:E,"&gt;="&amp;B9),SUMIFS(EeData!C:C,EeData!G:G,"A",EeData!E:E,"&gt;="&amp;B9,EeData!E:E,"&lt;"&amp;D9)))</f>
        <v>1011000</v>
      </c>
      <c r="I9" s="68">
        <f>IF(G9 = "", "", IF(G9=0,0,$H9/$G9))</f>
        <v>91909.090909090912</v>
      </c>
    </row>
    <row r="10" spans="2:9" ht="15.75" x14ac:dyDescent="0.25">
      <c r="B10" s="72">
        <f t="shared" si="2"/>
        <v>40</v>
      </c>
      <c r="C10" s="66"/>
      <c r="D10" s="73">
        <v>50</v>
      </c>
      <c r="F10" s="27" t="str">
        <f t="shared" si="1"/>
        <v>40 - 50</v>
      </c>
      <c r="G10" s="26">
        <f>IF(AND($B10="",$B11=""),"",IF($B11="",COUNTIFS(EeData!$G:$G,"A",EeData!$E:$E,"&gt;="&amp;$B10),COUNTIFS(EeData!$G:$G,"A",EeData!$E:$E,"&gt;="&amp;$B10,EeData!$E:$E,"&lt;"&amp;$B11)))</f>
        <v>13</v>
      </c>
      <c r="H10" s="67">
        <f>IF(B10="","",IF(D10="",SUMIFS(EeData!C:C,EeData!G:G,"A",EeData!E:E,"&gt;="&amp;B10),SUMIFS(EeData!C:C,EeData!G:G,"A",EeData!E:E,"&gt;="&amp;B10,EeData!E:E,"&lt;"&amp;D10)))</f>
        <v>1150000</v>
      </c>
      <c r="I10" s="68">
        <f t="shared" si="0"/>
        <v>88461.538461538468</v>
      </c>
    </row>
    <row r="11" spans="2:9" ht="15.75" x14ac:dyDescent="0.25">
      <c r="B11" s="72">
        <f t="shared" si="2"/>
        <v>50</v>
      </c>
      <c r="C11" s="66"/>
      <c r="D11" s="73">
        <v>60</v>
      </c>
      <c r="F11" s="27" t="str">
        <f t="shared" si="1"/>
        <v>50 - 60</v>
      </c>
      <c r="G11" s="26">
        <f>IF(AND($B11="",$B12=""),"",IF($B12="",COUNTIFS(EeData!$G:$G,"A",EeData!$E:$E,"&gt;="&amp;$B11),COUNTIFS(EeData!$G:$G,"A",EeData!$E:$E,"&gt;="&amp;$B11,EeData!$E:$E,"&lt;"&amp;$B12)))</f>
        <v>9</v>
      </c>
      <c r="H11" s="67">
        <f>IF(B11="","",IF(D11="",SUMIFS(EeData!C:C,EeData!G:G,"A",EeData!E:E,"&gt;="&amp;B11),SUMIFS(EeData!C:C,EeData!G:G,"A",EeData!E:E,"&gt;="&amp;B11,EeData!E:E,"&lt;"&amp;D11)))</f>
        <v>1209000</v>
      </c>
      <c r="I11" s="68">
        <f t="shared" si="0"/>
        <v>134333.33333333334</v>
      </c>
    </row>
    <row r="12" spans="2:9" ht="15.75" x14ac:dyDescent="0.25">
      <c r="B12" s="72">
        <f t="shared" si="2"/>
        <v>60</v>
      </c>
      <c r="C12" s="66"/>
      <c r="D12" s="73"/>
      <c r="F12" s="27" t="str">
        <f t="shared" si="1"/>
        <v>60 &lt;=</v>
      </c>
      <c r="G12" s="26">
        <f>IF(AND($B12="",$B13=""),"",IF($B13="",COUNTIFS(EeData!$G:$G,"A",EeData!$E:$E,"&gt;="&amp;$B12),COUNTIFS(EeData!$G:$G,"A",EeData!$E:$E,"&gt;="&amp;$B12,EeData!$E:$E,"&lt;"&amp;$B13)))</f>
        <v>1</v>
      </c>
      <c r="H12" s="67">
        <f>IF(B12="","",IF(D12="",SUMIFS(EeData!C:C,EeData!G:G,"A",EeData!E:E,"&gt;="&amp;B12),SUMIFS(EeData!C:C,EeData!G:G,"A",EeData!E:E,"&gt;="&amp;B12,EeData!E:E,"&lt;"&amp;D12)))</f>
        <v>86000</v>
      </c>
      <c r="I12" s="68">
        <f t="shared" si="0"/>
        <v>86000</v>
      </c>
    </row>
    <row r="13" spans="2:9" ht="15.75" x14ac:dyDescent="0.25">
      <c r="B13" s="72" t="str">
        <f t="shared" si="2"/>
        <v/>
      </c>
      <c r="C13" s="66"/>
      <c r="D13" s="73"/>
      <c r="F13" s="27" t="str">
        <f>IF(AND(OR($B13=0,$B13=""),OR($B14=0,$B14="")),"",IF(OR($B14="",$B14=0),$B13&amp;" &lt;=",IF($B13=0,"&lt; "&amp;$B14,$B13&amp;" - "&amp;$B14)))</f>
        <v/>
      </c>
      <c r="G13" s="26" t="str">
        <f>IF(AND($B13="",$B14=""),"",IF($B14="",COUNTIFS(EeData!$G:$G,"A",EeData!$E:$E,"&gt;="&amp;$B13),COUNTIFS(EeData!$G:$G,"A",EeData!$E:$E,"&gt;="&amp;$B13,EeData!$E:$E,"&lt;"&amp;$B14)))</f>
        <v/>
      </c>
      <c r="H13" s="67" t="str">
        <f>IF(B13="","",IF(D13="",SUMIFS(EeData!C:C,EeData!G:G,"A",EeData!E:E,"&gt;="&amp;B13),SUMIFS(EeData!C:C,EeData!G:G,"A",EeData!E:E,"&gt;="&amp;B13,EeData!E:E,"&lt;"&amp;D13)))</f>
        <v/>
      </c>
      <c r="I13" s="68" t="str">
        <f>IF(G13 = "", "", IF(G13=0,0,$H13/$G13))</f>
        <v/>
      </c>
    </row>
    <row r="14" spans="2:9" ht="15.75" x14ac:dyDescent="0.25">
      <c r="B14" s="72" t="str">
        <f t="shared" si="2"/>
        <v/>
      </c>
      <c r="C14" s="66"/>
      <c r="D14" s="73"/>
      <c r="F14" s="27" t="str">
        <f t="shared" si="1"/>
        <v/>
      </c>
      <c r="G14" s="26" t="str">
        <f>IF(AND($B14="",$B15=""),"",IF($B15="",COUNTIFS(EeData!$G:$G,"A",EeData!$E:$E,"&gt;="&amp;$B14),COUNTIFS(EeData!$G:$G,"A",EeData!$E:$E,"&gt;="&amp;$B14,EeData!$E:$E,"&lt;"&amp;$B15)))</f>
        <v/>
      </c>
      <c r="H14" s="67" t="str">
        <f>IF(B14="","",IF(D14="",SUMIFS(EeData!C:C,EeData!G:G,"A",EeData!E:E,"&gt;="&amp;B14),SUMIFS(EeData!C:C,EeData!G:G,"A",EeData!E:E,"&gt;="&amp;B14,EeData!E:E,"&lt;"&amp;D14)))</f>
        <v/>
      </c>
      <c r="I14" s="68" t="str">
        <f t="shared" si="0"/>
        <v/>
      </c>
    </row>
    <row r="15" spans="2:9" ht="15.75" x14ac:dyDescent="0.25">
      <c r="B15" s="72" t="str">
        <f t="shared" si="2"/>
        <v/>
      </c>
      <c r="C15" s="66"/>
      <c r="D15" s="73"/>
      <c r="F15" s="27" t="str">
        <f t="shared" si="1"/>
        <v/>
      </c>
      <c r="G15" s="26" t="str">
        <f>IF(AND($B15="",$B16=""),"",IF($B16="",COUNTIFS(EeData!$G:$G,"A",EeData!$E:$E,"&gt;="&amp;$B15),COUNTIFS(EeData!$G:$G,"A",EeData!$E:$E,"&gt;="&amp;$B15,EeData!$E:$E,"&lt;"&amp;$B16)))</f>
        <v/>
      </c>
      <c r="H15" s="67" t="str">
        <f>IF(B15="","",IF(D15="",SUMIFS(EeData!C:C,EeData!G:G,"A",EeData!E:E,"&gt;="&amp;B15),SUMIFS(EeData!C:C,EeData!G:G,"A",EeData!E:E,"&gt;="&amp;B15,EeData!E:E,"&lt;"&amp;D15)))</f>
        <v/>
      </c>
      <c r="I15" s="68" t="str">
        <f t="shared" si="0"/>
        <v/>
      </c>
    </row>
    <row r="16" spans="2:9" ht="15.75" x14ac:dyDescent="0.25">
      <c r="B16" s="72" t="str">
        <f t="shared" si="2"/>
        <v/>
      </c>
      <c r="C16" s="66"/>
      <c r="D16" s="73"/>
      <c r="F16" s="27" t="str">
        <f t="shared" si="1"/>
        <v/>
      </c>
      <c r="G16" s="26" t="str">
        <f>IF(AND($B16="",$B17=""),"",IF($B17="",COUNTIFS(EeData!$G:$G,"A",EeData!$E:$E,"&gt;="&amp;$B16),COUNTIFS(EeData!$G:$G,"A",EeData!$E:$E,"&gt;="&amp;$B16,EeData!$E:$E,"&lt;"&amp;$B17)))</f>
        <v/>
      </c>
      <c r="H16" s="67" t="str">
        <f>IF(B16="","",IF(D16="",SUMIFS(EeData!C:C,EeData!G:G,"A",EeData!E:E,"&gt;="&amp;B16),SUMIFS(EeData!C:C,EeData!G:G,"A",EeData!E:E,"&gt;="&amp;B16,EeData!E:E,"&lt;"&amp;D16)))</f>
        <v/>
      </c>
      <c r="I16" s="68" t="str">
        <f t="shared" si="0"/>
        <v/>
      </c>
    </row>
    <row r="17" spans="2:9" ht="15.75" x14ac:dyDescent="0.25">
      <c r="B17" s="72" t="str">
        <f t="shared" si="2"/>
        <v/>
      </c>
      <c r="C17" s="66"/>
      <c r="D17" s="73"/>
      <c r="F17" s="27"/>
      <c r="G17" s="26" t="str">
        <f>IF(AND($B17="",$B18=""),"",IF($B18="",COUNTIFS(EeData!$G:$G,"A",EeData!$E:$E,"&gt;="&amp;$B17),COUNTIFS(EeData!$G:$G,"A",EeData!$E:$E,"&gt;="&amp;$B17,EeData!$E:$E,"&lt;"&amp;$B18)))</f>
        <v/>
      </c>
      <c r="H17" s="67" t="str">
        <f>IF(B17="","",IF(D17="",SUMIFS(EeData!C:C,EeData!G:G,"A",EeData!E:E,"&gt;="&amp;B17),SUMIFS(EeData!C:C,EeData!G:G,"A",EeData!E:E,"&gt;="&amp;B17,EeData!E:E,"&lt;"&amp;D17)))</f>
        <v/>
      </c>
      <c r="I17" s="68" t="str">
        <f t="shared" si="0"/>
        <v/>
      </c>
    </row>
    <row r="18" spans="2:9" ht="15.75" x14ac:dyDescent="0.25">
      <c r="B18" s="72" t="str">
        <f t="shared" si="2"/>
        <v/>
      </c>
      <c r="C18" s="66"/>
      <c r="D18" s="73"/>
      <c r="F18" s="27" t="str">
        <f t="shared" si="1"/>
        <v/>
      </c>
      <c r="G18" s="26" t="str">
        <f>IF(AND($B18="",$B19=""),"",IF($B19="",COUNTIFS(EeData!$G:$G,"A",EeData!$E:$E,"&gt;="&amp;$B18),COUNTIFS(EeData!$G:$G,"A",EeData!$E:$E,"&gt;="&amp;$B18,EeData!$E:$E,"&lt;"&amp;$B19)))</f>
        <v/>
      </c>
      <c r="H18" s="67" t="str">
        <f>IF(B18="","",IF(D18="",SUMIFS(EeData!C:C,EeData!G:G,"A",EeData!E:E,"&gt;="&amp;B18),SUMIFS(EeData!C:C,EeData!G:G,"A",EeData!E:E,"&gt;="&amp;B18,EeData!E:E,"&lt;"&amp;D18)))</f>
        <v/>
      </c>
      <c r="I18" s="68" t="str">
        <f t="shared" si="0"/>
        <v/>
      </c>
    </row>
    <row r="19" spans="2:9" ht="15.75" x14ac:dyDescent="0.25">
      <c r="B19" s="72" t="str">
        <f t="shared" si="2"/>
        <v/>
      </c>
      <c r="C19" s="66"/>
      <c r="D19" s="73"/>
      <c r="F19" s="27" t="str">
        <f t="shared" si="1"/>
        <v/>
      </c>
      <c r="G19" s="26" t="str">
        <f>IF(AND($B19="",$B20=""),"",IF($B20="",COUNTIFS(EeData!$G:$G,"A",EeData!$E:$E,"&gt;="&amp;$B19),COUNTIFS(EeData!$G:$G,"A",EeData!$E:$E,"&gt;="&amp;$B19,EeData!$E:$E,"&lt;"&amp;$B20)))</f>
        <v/>
      </c>
      <c r="H19" s="67" t="str">
        <f>IF(B19="","",IF(D19="",SUMIFS(EeData!C:C,EeData!G:G,"A",EeData!E:E,"&gt;="&amp;B19),SUMIFS(EeData!C:C,EeData!G:G,"A",EeData!E:E,"&gt;="&amp;B19,EeData!E:E,"&lt;"&amp;D19)))</f>
        <v/>
      </c>
      <c r="I19" s="68" t="str">
        <f t="shared" si="0"/>
        <v/>
      </c>
    </row>
    <row r="20" spans="2:9" ht="15.75" x14ac:dyDescent="0.25">
      <c r="B20" s="72" t="str">
        <f t="shared" si="2"/>
        <v/>
      </c>
      <c r="C20" s="66"/>
      <c r="D20" s="73"/>
      <c r="F20" s="27" t="str">
        <f t="shared" si="1"/>
        <v/>
      </c>
      <c r="G20" s="26" t="str">
        <f>IF(AND($B20="",$B21=""),"",IF($B21="",COUNTIFS(EeData!$G:$G,"A",EeData!$E:$E,"&gt;="&amp;$B20),COUNTIFS(EeData!$G:$G,"A",EeData!$E:$E,"&gt;="&amp;$B20,EeData!$E:$E,"&lt;"&amp;$B21)))</f>
        <v/>
      </c>
      <c r="H20" s="67" t="str">
        <f>IF(B20="","",IF(D20="",SUMIFS(EeData!C:C,EeData!G:G,"A",EeData!E:E,"&gt;="&amp;B20),SUMIFS(EeData!C:C,EeData!G:G,"A",EeData!E:E,"&gt;="&amp;B20,EeData!E:E,"&lt;"&amp;D20)))</f>
        <v/>
      </c>
      <c r="I20" s="68" t="str">
        <f t="shared" si="0"/>
        <v/>
      </c>
    </row>
    <row r="21" spans="2:9" ht="15.75" x14ac:dyDescent="0.25">
      <c r="B21" s="72" t="str">
        <f t="shared" si="2"/>
        <v/>
      </c>
      <c r="C21" s="66"/>
      <c r="D21" s="73"/>
      <c r="F21" s="27" t="str">
        <f t="shared" si="1"/>
        <v/>
      </c>
      <c r="G21" s="26" t="str">
        <f>IF(AND($B21="",$B22=""),"",IF($B22="",COUNTIFS(EeData!$G:$G,"A",EeData!$E:$E,"&gt;="&amp;$B21),COUNTIFS(EeData!$G:$G,"A",EeData!$E:$E,"&gt;="&amp;$B21,EeData!$E:$E,"&lt;"&amp;$B22)))</f>
        <v/>
      </c>
      <c r="H21" s="67" t="str">
        <f>IF(B21="","",IF(D21="",SUMIFS(EeData!C:C,EeData!G:G,"A",EeData!E:E,"&gt;="&amp;B21),SUMIFS(EeData!C:C,EeData!G:G,"A",EeData!E:E,"&gt;="&amp;B21,EeData!E:E,"&lt;"&amp;D21)))</f>
        <v/>
      </c>
      <c r="I21" s="68" t="str">
        <f t="shared" si="0"/>
        <v/>
      </c>
    </row>
    <row r="22" spans="2:9" ht="16.5" thickBot="1" x14ac:dyDescent="0.3">
      <c r="B22" s="72" t="str">
        <f t="shared" si="2"/>
        <v/>
      </c>
      <c r="C22" s="66"/>
      <c r="D22" s="74"/>
      <c r="F22" s="27" t="str">
        <f t="shared" si="1"/>
        <v/>
      </c>
      <c r="G22" s="26" t="str">
        <f>IF(AND($B22="",$B23=""),"",IF($B23="",COUNTIFS(EeData!$G:$G,"A",EeData!$E:$E,"&gt;="&amp;$B22),COUNTIFS(EeData!$G:$G,"A",EeData!$E:$E,"&gt;="&amp;$B22,EeData!$E:$E,"&lt;"&amp;$B23)))</f>
        <v/>
      </c>
      <c r="H22" s="67" t="str">
        <f>IF(B22="","",IF(D22="",SUMIFS(EeData!C:C,EeData!G:G,"A",EeData!E:E,"&gt;="&amp;B22),SUMIFS(EeData!C:C,EeData!G:G,"A",EeData!E:E,"&gt;="&amp;B22,EeData!E:E,"&lt;"&amp;D22)))</f>
        <v/>
      </c>
      <c r="I22" s="68" t="str">
        <f t="shared" si="0"/>
        <v/>
      </c>
    </row>
    <row r="23" spans="2:9" ht="16.5" thickBot="1" x14ac:dyDescent="0.3">
      <c r="B23" s="23"/>
      <c r="C23" s="24"/>
      <c r="D23" s="25"/>
      <c r="F23" s="69" t="s">
        <v>36</v>
      </c>
      <c r="G23" s="28">
        <f>SUM(G7:G22)</f>
        <v>37</v>
      </c>
      <c r="H23" s="31">
        <f>SUM(H7:H22)</f>
        <v>3704000</v>
      </c>
      <c r="I23" s="32">
        <f>H23/G23</f>
        <v>100108.10810810811</v>
      </c>
    </row>
    <row r="28" spans="2:9" ht="15.75" x14ac:dyDescent="0.25">
      <c r="D28" s="22"/>
    </row>
  </sheetData>
  <mergeCells count="5">
    <mergeCell ref="B4:D4"/>
    <mergeCell ref="B5:D5"/>
    <mergeCell ref="F4:I4"/>
    <mergeCell ref="F5:I5"/>
    <mergeCell ref="B2:I2"/>
  </mergeCells>
  <printOptions horizontalCentered="1" verticalCentered="1"/>
  <pageMargins left="0.7" right="0.7" top="0.75" bottom="0.75" header="0.3" footer="0.3"/>
  <pageSetup orientation="landscape" r:id="rId1"/>
  <headerFooter>
    <oddFooter>&amp;L&amp;A
&amp;F&amp;R&amp;T
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4189-080A-4391-A098-BBCC2E4C279C}">
  <dimension ref="B1:E16"/>
  <sheetViews>
    <sheetView showGridLines="0" workbookViewId="0"/>
  </sheetViews>
  <sheetFormatPr defaultRowHeight="15" x14ac:dyDescent="0.25"/>
  <cols>
    <col min="1" max="1" width="1.7109375" customWidth="1"/>
    <col min="2" max="2" width="1.28515625" customWidth="1"/>
    <col min="3" max="3" width="20.42578125" bestFit="1" customWidth="1"/>
    <col min="4" max="4" width="6.5703125" customWidth="1"/>
    <col min="5" max="5" width="27.42578125" style="55" customWidth="1"/>
    <col min="6" max="6" width="2" customWidth="1"/>
  </cols>
  <sheetData>
    <row r="1" spans="2:5" ht="10.5" customHeight="1" thickBot="1" x14ac:dyDescent="0.3"/>
    <row r="2" spans="2:5" ht="27.75" customHeight="1" thickBot="1" x14ac:dyDescent="0.3">
      <c r="B2" s="111" t="s">
        <v>68</v>
      </c>
      <c r="C2" s="112"/>
      <c r="D2" s="112"/>
      <c r="E2" s="113"/>
    </row>
    <row r="3" spans="2:5" x14ac:dyDescent="0.25">
      <c r="B3" s="56"/>
      <c r="C3" s="57"/>
      <c r="D3" s="57"/>
      <c r="E3" s="58"/>
    </row>
    <row r="4" spans="2:5" ht="15.75" x14ac:dyDescent="0.25">
      <c r="B4" s="56"/>
      <c r="C4" s="75" t="s">
        <v>69</v>
      </c>
      <c r="D4" s="75"/>
      <c r="E4" s="64" t="s">
        <v>57</v>
      </c>
    </row>
    <row r="5" spans="2:5" ht="15.75" x14ac:dyDescent="0.25">
      <c r="B5" s="56"/>
      <c r="C5" s="75"/>
      <c r="D5" s="75"/>
      <c r="E5" s="76"/>
    </row>
    <row r="6" spans="2:5" ht="15.75" x14ac:dyDescent="0.25">
      <c r="B6" s="56"/>
      <c r="C6" s="75" t="s">
        <v>70</v>
      </c>
      <c r="D6" s="75"/>
      <c r="E6" s="64">
        <v>500</v>
      </c>
    </row>
    <row r="7" spans="2:5" ht="15.75" x14ac:dyDescent="0.25">
      <c r="B7" s="56"/>
      <c r="C7" s="75" t="s">
        <v>71</v>
      </c>
      <c r="D7" s="75"/>
      <c r="E7" s="77">
        <f>IF(E4="","", SUM(SUMIF(Records!A16:A27, $E$4, Records!L16:L27), SUMIF(Records!A16:A27, $E$4, Records!X16:X27), SUMIF(Records!A16:A27, $E$4, Records!D16:D27), SUMIF(Records!A16:A27, $E$4, Records!E16:E27)))</f>
        <v>439</v>
      </c>
    </row>
    <row r="8" spans="2:5" ht="15.75" x14ac:dyDescent="0.25">
      <c r="B8" s="56"/>
      <c r="C8" s="75" t="s">
        <v>72</v>
      </c>
      <c r="D8" s="75"/>
      <c r="E8" s="78">
        <f>IF(E4="","", E7/E6)</f>
        <v>0.878</v>
      </c>
    </row>
    <row r="9" spans="2:5" ht="15.75" x14ac:dyDescent="0.25">
      <c r="B9" s="56"/>
      <c r="C9" s="59" t="s">
        <v>73</v>
      </c>
      <c r="D9" s="59"/>
      <c r="E9" s="60" t="str">
        <f>IF(E4="", "", INDEX(Records!B3:E12, MATCH(E8,Records!E3:E12,-1),1))</f>
        <v>B</v>
      </c>
    </row>
    <row r="10" spans="2:5" ht="15.75" x14ac:dyDescent="0.25">
      <c r="B10" s="56"/>
      <c r="C10" s="75"/>
      <c r="D10" s="75"/>
      <c r="E10" s="77"/>
    </row>
    <row r="11" spans="2:5" ht="15.75" x14ac:dyDescent="0.25">
      <c r="B11" s="56"/>
      <c r="C11" s="75" t="s">
        <v>54</v>
      </c>
      <c r="D11" s="75"/>
      <c r="E11" s="77">
        <f>IF(E4="","", INDEX(Records!$A$16:$X$27, MATCH($E$4, Records!$A$16:$A$27, 0),4))</f>
        <v>190</v>
      </c>
    </row>
    <row r="12" spans="2:5" ht="15.75" x14ac:dyDescent="0.25">
      <c r="B12" s="56"/>
      <c r="C12" s="75" t="s">
        <v>74</v>
      </c>
      <c r="D12" s="75"/>
      <c r="E12" s="77">
        <f>IF(E4="", "", INDEX(Records!$A$16:$X$27, MATCH($E$4, Records!$A$16:$A$27, 0),5))</f>
        <v>96</v>
      </c>
    </row>
    <row r="13" spans="2:5" ht="15.75" x14ac:dyDescent="0.25">
      <c r="B13" s="56"/>
      <c r="C13" s="75" t="s">
        <v>75</v>
      </c>
      <c r="D13" s="75"/>
      <c r="E13" s="77">
        <f>IF(E4="", "", INDEX(Records!$A$16:$X$27, MATCH($E$4, Records!$A$16:$A$27, 0),12))</f>
        <v>104</v>
      </c>
    </row>
    <row r="14" spans="2:5" ht="15.75" x14ac:dyDescent="0.25">
      <c r="B14" s="56"/>
      <c r="C14" s="75" t="s">
        <v>51</v>
      </c>
      <c r="D14" s="75"/>
      <c r="E14" s="77">
        <f>IF(E4="", "", INDEX(Records!$A$16:$X$27, MATCH($E$4, Records!$A$16:$A$27, 0),24))</f>
        <v>49</v>
      </c>
    </row>
    <row r="15" spans="2:5" ht="7.5" customHeight="1" thickBot="1" x14ac:dyDescent="0.3">
      <c r="B15" s="61"/>
      <c r="C15" s="62"/>
      <c r="D15" s="62"/>
      <c r="E15" s="63"/>
    </row>
    <row r="16" spans="2:5" ht="10.5" customHeight="1" x14ac:dyDescent="0.25"/>
  </sheetData>
  <mergeCells count="1">
    <mergeCell ref="B2:E2"/>
  </mergeCells>
  <printOptions horizontalCentered="1" verticalCentered="1"/>
  <pageMargins left="0.7" right="0.7" top="0.75" bottom="0.75" header="0.3" footer="0.3"/>
  <pageSetup orientation="landscape" r:id="rId1"/>
  <headerFooter>
    <oddFooter>&amp;L&amp;A
&amp;F&amp;R&amp;T
&amp;D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16B6F6-5B0C-487E-86A4-E160BFAEDA8B}">
          <x14:formula1>
            <xm:f>Records!$A$16:$A$27</xm:f>
          </x14:formula1>
          <xm:sqref>E4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D799-74BB-471D-9DDD-0546BD6FA1BF}">
  <dimension ref="A1:X28"/>
  <sheetViews>
    <sheetView workbookViewId="0">
      <selection activeCell="P12" sqref="P12"/>
    </sheetView>
  </sheetViews>
  <sheetFormatPr defaultColWidth="8.85546875" defaultRowHeight="15" x14ac:dyDescent="0.25"/>
  <cols>
    <col min="1" max="5" width="8.85546875" style="33"/>
    <col min="6" max="6" width="1.7109375" style="33" customWidth="1"/>
    <col min="7" max="16384" width="8.85546875" style="33"/>
  </cols>
  <sheetData>
    <row r="1" spans="1:24" ht="16.5" thickBot="1" x14ac:dyDescent="0.3">
      <c r="A1" s="114" t="s">
        <v>37</v>
      </c>
      <c r="B1" s="115"/>
      <c r="C1" s="115"/>
      <c r="D1" s="115"/>
      <c r="E1" s="115"/>
      <c r="F1" s="116"/>
    </row>
    <row r="2" spans="1:24" ht="16.5" thickBot="1" x14ac:dyDescent="0.3">
      <c r="A2" s="34"/>
      <c r="B2" s="35" t="s">
        <v>38</v>
      </c>
      <c r="C2" s="117" t="s">
        <v>39</v>
      </c>
      <c r="D2" s="117"/>
      <c r="E2" s="117"/>
      <c r="F2" s="36"/>
    </row>
    <row r="3" spans="1:24" ht="15.75" thickTop="1" x14ac:dyDescent="0.25">
      <c r="A3" s="37"/>
      <c r="B3" s="38" t="s">
        <v>22</v>
      </c>
      <c r="C3" s="39">
        <v>0.95</v>
      </c>
      <c r="D3" s="38" t="s">
        <v>40</v>
      </c>
      <c r="E3" s="40">
        <v>1</v>
      </c>
      <c r="F3" s="41"/>
    </row>
    <row r="4" spans="1:24" x14ac:dyDescent="0.25">
      <c r="A4" s="37"/>
      <c r="B4" s="38" t="s">
        <v>41</v>
      </c>
      <c r="C4" s="39">
        <v>0.92</v>
      </c>
      <c r="D4" s="38" t="s">
        <v>40</v>
      </c>
      <c r="E4" s="42">
        <v>0.94989999999999997</v>
      </c>
      <c r="F4" s="41"/>
    </row>
    <row r="5" spans="1:24" x14ac:dyDescent="0.25">
      <c r="A5" s="37"/>
      <c r="B5" s="38" t="s">
        <v>42</v>
      </c>
      <c r="C5" s="39">
        <v>0.9</v>
      </c>
      <c r="D5" s="38" t="s">
        <v>40</v>
      </c>
      <c r="E5" s="42">
        <v>0.91990000000000005</v>
      </c>
      <c r="F5" s="41"/>
    </row>
    <row r="6" spans="1:24" x14ac:dyDescent="0.25">
      <c r="A6" s="37"/>
      <c r="B6" s="38" t="s">
        <v>43</v>
      </c>
      <c r="C6" s="39">
        <v>0.85</v>
      </c>
      <c r="D6" s="38" t="s">
        <v>40</v>
      </c>
      <c r="E6" s="42">
        <v>0.89990000000000003</v>
      </c>
      <c r="F6" s="41"/>
    </row>
    <row r="7" spans="1:24" x14ac:dyDescent="0.25">
      <c r="A7" s="37"/>
      <c r="B7" s="38" t="s">
        <v>44</v>
      </c>
      <c r="C7" s="39">
        <v>0.82</v>
      </c>
      <c r="D7" s="38" t="s">
        <v>40</v>
      </c>
      <c r="E7" s="42">
        <v>0.84989999999999999</v>
      </c>
      <c r="F7" s="41"/>
    </row>
    <row r="8" spans="1:24" x14ac:dyDescent="0.25">
      <c r="A8" s="37"/>
      <c r="B8" s="38" t="s">
        <v>45</v>
      </c>
      <c r="C8" s="39">
        <v>0.8</v>
      </c>
      <c r="D8" s="38" t="s">
        <v>40</v>
      </c>
      <c r="E8" s="42">
        <v>0.81989999999999996</v>
      </c>
      <c r="F8" s="41"/>
    </row>
    <row r="9" spans="1:24" x14ac:dyDescent="0.25">
      <c r="A9" s="37"/>
      <c r="B9" s="38" t="s">
        <v>46</v>
      </c>
      <c r="C9" s="39">
        <v>0.77</v>
      </c>
      <c r="D9" s="38" t="s">
        <v>40</v>
      </c>
      <c r="E9" s="42">
        <v>0.79990000000000006</v>
      </c>
      <c r="F9" s="41"/>
    </row>
    <row r="10" spans="1:24" x14ac:dyDescent="0.25">
      <c r="A10" s="37"/>
      <c r="B10" s="38" t="s">
        <v>47</v>
      </c>
      <c r="C10" s="39">
        <v>0.75</v>
      </c>
      <c r="D10" s="38" t="s">
        <v>40</v>
      </c>
      <c r="E10" s="42">
        <v>0.76990000000000003</v>
      </c>
      <c r="F10" s="41"/>
    </row>
    <row r="11" spans="1:24" x14ac:dyDescent="0.25">
      <c r="A11" s="37"/>
      <c r="B11" s="38" t="s">
        <v>48</v>
      </c>
      <c r="C11" s="39">
        <v>0.65</v>
      </c>
      <c r="D11" s="38" t="s">
        <v>40</v>
      </c>
      <c r="E11" s="42">
        <v>0.74990000000000001</v>
      </c>
      <c r="F11" s="41"/>
    </row>
    <row r="12" spans="1:24" ht="15.75" thickBot="1" x14ac:dyDescent="0.3">
      <c r="A12" s="43"/>
      <c r="B12" s="44" t="s">
        <v>49</v>
      </c>
      <c r="C12" s="45">
        <v>0</v>
      </c>
      <c r="D12" s="44" t="s">
        <v>40</v>
      </c>
      <c r="E12" s="46">
        <v>0.64990000000000003</v>
      </c>
      <c r="F12" s="47"/>
    </row>
    <row r="14" spans="1:24" x14ac:dyDescent="0.25">
      <c r="A14" s="14"/>
      <c r="B14" s="14"/>
      <c r="C14" s="48" t="s">
        <v>36</v>
      </c>
      <c r="D14" s="14"/>
      <c r="E14" s="14"/>
      <c r="F14" s="48"/>
      <c r="G14" s="118" t="s">
        <v>50</v>
      </c>
      <c r="H14" s="118"/>
      <c r="I14" s="118"/>
      <c r="J14" s="118"/>
      <c r="K14" s="118"/>
      <c r="L14" s="118"/>
      <c r="M14" s="118" t="s">
        <v>51</v>
      </c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</row>
    <row r="15" spans="1:24" x14ac:dyDescent="0.25">
      <c r="A15" s="49" t="s">
        <v>52</v>
      </c>
      <c r="B15" s="49"/>
      <c r="C15" s="50" t="s">
        <v>53</v>
      </c>
      <c r="D15" s="50" t="s">
        <v>54</v>
      </c>
      <c r="E15" s="50" t="s">
        <v>55</v>
      </c>
      <c r="F15" s="50"/>
      <c r="G15" s="50">
        <v>1</v>
      </c>
      <c r="H15" s="50">
        <v>2</v>
      </c>
      <c r="I15" s="50">
        <v>3</v>
      </c>
      <c r="J15" s="50">
        <v>4</v>
      </c>
      <c r="K15" s="50">
        <v>5</v>
      </c>
      <c r="L15" s="50" t="s">
        <v>36</v>
      </c>
      <c r="M15" s="50">
        <v>1</v>
      </c>
      <c r="N15" s="50">
        <v>2</v>
      </c>
      <c r="O15" s="50">
        <v>3</v>
      </c>
      <c r="P15" s="50">
        <v>4</v>
      </c>
      <c r="Q15" s="50">
        <v>5</v>
      </c>
      <c r="R15" s="50">
        <v>6</v>
      </c>
      <c r="S15" s="50">
        <v>7</v>
      </c>
      <c r="T15" s="50">
        <v>8</v>
      </c>
      <c r="U15" s="50">
        <v>9</v>
      </c>
      <c r="V15" s="50">
        <v>10</v>
      </c>
      <c r="W15" s="50">
        <v>11</v>
      </c>
      <c r="X15" s="50" t="s">
        <v>36</v>
      </c>
    </row>
    <row r="16" spans="1:24" x14ac:dyDescent="0.25">
      <c r="A16" s="51" t="s">
        <v>56</v>
      </c>
      <c r="B16" s="52"/>
      <c r="C16" s="53">
        <v>488</v>
      </c>
      <c r="D16" s="54">
        <v>195</v>
      </c>
      <c r="E16" s="54">
        <v>98</v>
      </c>
      <c r="F16" s="53"/>
      <c r="G16" s="54">
        <v>24</v>
      </c>
      <c r="H16" s="54">
        <v>23</v>
      </c>
      <c r="I16" s="54">
        <v>18</v>
      </c>
      <c r="J16" s="54">
        <v>23</v>
      </c>
      <c r="K16" s="54">
        <v>21</v>
      </c>
      <c r="L16" s="53">
        <v>109</v>
      </c>
      <c r="M16" s="54">
        <v>10</v>
      </c>
      <c r="N16" s="54">
        <v>9</v>
      </c>
      <c r="O16" s="54">
        <v>7</v>
      </c>
      <c r="P16" s="54">
        <v>8</v>
      </c>
      <c r="Q16" s="54">
        <v>6</v>
      </c>
      <c r="R16" s="54">
        <v>8</v>
      </c>
      <c r="S16" s="54">
        <v>7</v>
      </c>
      <c r="T16" s="54">
        <v>6</v>
      </c>
      <c r="U16" s="54">
        <v>8</v>
      </c>
      <c r="V16" s="54">
        <v>10</v>
      </c>
      <c r="W16" s="54">
        <v>7</v>
      </c>
      <c r="X16" s="53">
        <v>86</v>
      </c>
    </row>
    <row r="17" spans="1:24" x14ac:dyDescent="0.25">
      <c r="A17" s="51" t="s">
        <v>57</v>
      </c>
      <c r="B17" s="52"/>
      <c r="C17" s="53">
        <v>439</v>
      </c>
      <c r="D17" s="54">
        <v>190</v>
      </c>
      <c r="E17" s="54">
        <v>96</v>
      </c>
      <c r="F17" s="53"/>
      <c r="G17" s="54">
        <v>23</v>
      </c>
      <c r="H17" s="54">
        <v>22</v>
      </c>
      <c r="I17" s="54">
        <v>17</v>
      </c>
      <c r="J17" s="54">
        <v>22</v>
      </c>
      <c r="K17" s="54">
        <v>20</v>
      </c>
      <c r="L17" s="53">
        <v>104</v>
      </c>
      <c r="M17" s="54">
        <v>9</v>
      </c>
      <c r="N17" s="54">
        <v>8</v>
      </c>
      <c r="O17" s="54">
        <v>0</v>
      </c>
      <c r="P17" s="54">
        <v>7</v>
      </c>
      <c r="Q17" s="54">
        <v>0</v>
      </c>
      <c r="R17" s="54">
        <v>2</v>
      </c>
      <c r="S17" s="54">
        <v>5</v>
      </c>
      <c r="T17" s="54">
        <v>4</v>
      </c>
      <c r="U17" s="54">
        <v>6</v>
      </c>
      <c r="V17" s="54">
        <v>8</v>
      </c>
      <c r="W17" s="54"/>
      <c r="X17" s="53">
        <v>49</v>
      </c>
    </row>
    <row r="18" spans="1:24" x14ac:dyDescent="0.25">
      <c r="A18" s="51" t="s">
        <v>58</v>
      </c>
      <c r="B18" s="52"/>
      <c r="C18" s="53">
        <v>458</v>
      </c>
      <c r="D18" s="54">
        <v>185</v>
      </c>
      <c r="E18" s="54">
        <v>94</v>
      </c>
      <c r="F18" s="53"/>
      <c r="G18" s="54">
        <v>22</v>
      </c>
      <c r="H18" s="54">
        <v>25</v>
      </c>
      <c r="I18" s="54">
        <v>25</v>
      </c>
      <c r="J18" s="54">
        <v>25</v>
      </c>
      <c r="K18" s="54">
        <v>25</v>
      </c>
      <c r="L18" s="53">
        <v>122</v>
      </c>
      <c r="M18" s="54">
        <v>8</v>
      </c>
      <c r="N18" s="54">
        <v>7</v>
      </c>
      <c r="O18" s="54">
        <v>9</v>
      </c>
      <c r="P18" s="54">
        <v>7</v>
      </c>
      <c r="Q18" s="54">
        <v>10</v>
      </c>
      <c r="R18" s="54">
        <v>7</v>
      </c>
      <c r="S18" s="54">
        <v>3</v>
      </c>
      <c r="T18" s="54">
        <v>2</v>
      </c>
      <c r="U18" s="54">
        <v>4</v>
      </c>
      <c r="V18" s="54"/>
      <c r="W18" s="54"/>
      <c r="X18" s="53">
        <v>57</v>
      </c>
    </row>
    <row r="19" spans="1:24" x14ac:dyDescent="0.25">
      <c r="A19" s="51" t="s">
        <v>59</v>
      </c>
      <c r="B19" s="52"/>
      <c r="C19" s="53">
        <v>430</v>
      </c>
      <c r="D19" s="54">
        <v>180</v>
      </c>
      <c r="E19" s="54">
        <v>92</v>
      </c>
      <c r="F19" s="53"/>
      <c r="G19" s="54">
        <v>21</v>
      </c>
      <c r="H19" s="54">
        <v>20</v>
      </c>
      <c r="I19" s="54">
        <v>25</v>
      </c>
      <c r="J19" s="54">
        <v>20</v>
      </c>
      <c r="K19" s="54">
        <v>22</v>
      </c>
      <c r="L19" s="53">
        <v>108</v>
      </c>
      <c r="M19" s="54">
        <v>7</v>
      </c>
      <c r="N19" s="54">
        <v>6</v>
      </c>
      <c r="O19" s="54">
        <v>8</v>
      </c>
      <c r="P19" s="54">
        <v>10</v>
      </c>
      <c r="Q19" s="54">
        <v>7</v>
      </c>
      <c r="R19" s="54">
        <v>9</v>
      </c>
      <c r="S19" s="54">
        <v>2</v>
      </c>
      <c r="T19" s="54">
        <v>1</v>
      </c>
      <c r="U19" s="54"/>
      <c r="V19" s="54"/>
      <c r="W19" s="54"/>
      <c r="X19" s="53">
        <v>50</v>
      </c>
    </row>
    <row r="20" spans="1:24" x14ac:dyDescent="0.25">
      <c r="A20" s="51" t="s">
        <v>60</v>
      </c>
      <c r="B20" s="52"/>
      <c r="C20" s="53">
        <v>458</v>
      </c>
      <c r="D20" s="54">
        <v>198</v>
      </c>
      <c r="E20" s="54">
        <v>90</v>
      </c>
      <c r="F20" s="53"/>
      <c r="G20" s="54">
        <v>25</v>
      </c>
      <c r="H20" s="54">
        <v>25</v>
      </c>
      <c r="I20" s="54">
        <v>25</v>
      </c>
      <c r="J20" s="54">
        <v>25</v>
      </c>
      <c r="K20" s="54">
        <v>21</v>
      </c>
      <c r="L20" s="53">
        <v>121</v>
      </c>
      <c r="M20" s="54">
        <v>6</v>
      </c>
      <c r="N20" s="54">
        <v>5</v>
      </c>
      <c r="O20" s="54">
        <v>7</v>
      </c>
      <c r="P20" s="54">
        <v>9</v>
      </c>
      <c r="Q20" s="54">
        <v>6</v>
      </c>
      <c r="R20" s="54">
        <v>8</v>
      </c>
      <c r="S20" s="54">
        <v>8</v>
      </c>
      <c r="T20" s="54"/>
      <c r="U20" s="54"/>
      <c r="V20" s="54"/>
      <c r="W20" s="54"/>
      <c r="X20" s="53">
        <v>49</v>
      </c>
    </row>
    <row r="21" spans="1:24" x14ac:dyDescent="0.25">
      <c r="A21" s="51" t="s">
        <v>61</v>
      </c>
      <c r="B21" s="52"/>
      <c r="C21" s="53">
        <v>391</v>
      </c>
      <c r="D21" s="54">
        <v>170</v>
      </c>
      <c r="E21" s="54">
        <v>88</v>
      </c>
      <c r="F21" s="53"/>
      <c r="G21" s="54">
        <v>19</v>
      </c>
      <c r="H21" s="54">
        <v>18</v>
      </c>
      <c r="I21" s="54">
        <v>23</v>
      </c>
      <c r="J21" s="54">
        <v>18</v>
      </c>
      <c r="K21" s="54">
        <v>20</v>
      </c>
      <c r="L21" s="53">
        <v>98</v>
      </c>
      <c r="M21" s="54">
        <v>5</v>
      </c>
      <c r="N21" s="54">
        <v>4</v>
      </c>
      <c r="O21" s="54">
        <v>6</v>
      </c>
      <c r="P21" s="54">
        <v>8</v>
      </c>
      <c r="Q21" s="54">
        <v>5</v>
      </c>
      <c r="R21" s="54">
        <v>7</v>
      </c>
      <c r="S21" s="54"/>
      <c r="T21" s="54"/>
      <c r="U21" s="54"/>
      <c r="V21" s="54"/>
      <c r="W21" s="54"/>
      <c r="X21" s="53">
        <v>35</v>
      </c>
    </row>
    <row r="22" spans="1:24" x14ac:dyDescent="0.25">
      <c r="A22" s="51" t="s">
        <v>62</v>
      </c>
      <c r="B22" s="52"/>
      <c r="C22" s="53">
        <v>420</v>
      </c>
      <c r="D22" s="54">
        <v>200</v>
      </c>
      <c r="E22" s="54">
        <v>86</v>
      </c>
      <c r="F22" s="53"/>
      <c r="G22" s="54">
        <v>18</v>
      </c>
      <c r="H22" s="54">
        <v>17</v>
      </c>
      <c r="I22" s="54">
        <v>22</v>
      </c>
      <c r="J22" s="54">
        <v>17</v>
      </c>
      <c r="K22" s="54">
        <v>19</v>
      </c>
      <c r="L22" s="53">
        <v>93</v>
      </c>
      <c r="M22" s="54">
        <v>10</v>
      </c>
      <c r="N22" s="54">
        <v>6</v>
      </c>
      <c r="O22" s="54">
        <v>8</v>
      </c>
      <c r="P22" s="54">
        <v>10</v>
      </c>
      <c r="Q22" s="54">
        <v>7</v>
      </c>
      <c r="R22" s="54"/>
      <c r="S22" s="54"/>
      <c r="T22" s="54"/>
      <c r="U22" s="54"/>
      <c r="V22" s="54"/>
      <c r="W22" s="54"/>
      <c r="X22" s="53">
        <v>41</v>
      </c>
    </row>
    <row r="23" spans="1:24" x14ac:dyDescent="0.25">
      <c r="A23" s="51" t="s">
        <v>63</v>
      </c>
      <c r="B23" s="52"/>
      <c r="C23" s="53">
        <v>319</v>
      </c>
      <c r="D23" s="54">
        <v>160</v>
      </c>
      <c r="E23" s="54">
        <v>84</v>
      </c>
      <c r="F23" s="53"/>
      <c r="G23" s="54">
        <v>17</v>
      </c>
      <c r="H23" s="54">
        <v>16</v>
      </c>
      <c r="I23" s="54">
        <v>25</v>
      </c>
      <c r="J23" s="54"/>
      <c r="K23" s="54">
        <v>2</v>
      </c>
      <c r="L23" s="53">
        <v>60</v>
      </c>
      <c r="M23" s="54">
        <v>3</v>
      </c>
      <c r="N23" s="54">
        <v>2</v>
      </c>
      <c r="O23" s="54">
        <v>4</v>
      </c>
      <c r="P23" s="54">
        <v>6</v>
      </c>
      <c r="Q23" s="54"/>
      <c r="R23" s="54"/>
      <c r="S23" s="54"/>
      <c r="T23" s="54"/>
      <c r="U23" s="54"/>
      <c r="V23" s="54"/>
      <c r="W23" s="54"/>
      <c r="X23" s="53">
        <v>15</v>
      </c>
    </row>
    <row r="24" spans="1:24" x14ac:dyDescent="0.25">
      <c r="A24" s="51" t="s">
        <v>64</v>
      </c>
      <c r="B24" s="52"/>
      <c r="C24" s="53">
        <v>416</v>
      </c>
      <c r="D24" s="54">
        <v>200</v>
      </c>
      <c r="E24" s="54">
        <v>100</v>
      </c>
      <c r="F24" s="53"/>
      <c r="G24" s="54">
        <v>16</v>
      </c>
      <c r="H24" s="54">
        <v>15</v>
      </c>
      <c r="I24" s="54">
        <v>20</v>
      </c>
      <c r="J24" s="54">
        <v>25</v>
      </c>
      <c r="K24" s="54">
        <v>23</v>
      </c>
      <c r="L24" s="53">
        <v>99</v>
      </c>
      <c r="M24" s="54">
        <v>10</v>
      </c>
      <c r="N24" s="54">
        <v>2</v>
      </c>
      <c r="O24" s="54">
        <v>5</v>
      </c>
      <c r="P24" s="54"/>
      <c r="Q24" s="54"/>
      <c r="R24" s="54"/>
      <c r="S24" s="54"/>
      <c r="T24" s="54"/>
      <c r="U24" s="54"/>
      <c r="V24" s="54"/>
      <c r="W24" s="54"/>
      <c r="X24" s="53">
        <v>17</v>
      </c>
    </row>
    <row r="25" spans="1:24" x14ac:dyDescent="0.25">
      <c r="A25" s="51" t="s">
        <v>65</v>
      </c>
      <c r="B25" s="52"/>
      <c r="C25" s="53">
        <v>305</v>
      </c>
      <c r="D25" s="54">
        <v>180</v>
      </c>
      <c r="E25" s="54">
        <v>90</v>
      </c>
      <c r="F25" s="53"/>
      <c r="G25" s="54">
        <v>15</v>
      </c>
      <c r="H25" s="54"/>
      <c r="I25" s="54"/>
      <c r="J25" s="54"/>
      <c r="K25" s="54"/>
      <c r="L25" s="53">
        <v>15</v>
      </c>
      <c r="M25" s="54">
        <v>10</v>
      </c>
      <c r="N25" s="54">
        <v>10</v>
      </c>
      <c r="O25" s="54"/>
      <c r="P25" s="54"/>
      <c r="Q25" s="54"/>
      <c r="R25" s="54"/>
      <c r="S25" s="54"/>
      <c r="T25" s="54"/>
      <c r="U25" s="54"/>
      <c r="V25" s="54"/>
      <c r="W25" s="54"/>
      <c r="X25" s="53">
        <v>20</v>
      </c>
    </row>
    <row r="26" spans="1:24" x14ac:dyDescent="0.25">
      <c r="A26" s="51" t="s">
        <v>66</v>
      </c>
      <c r="B26" s="52"/>
      <c r="C26" s="53">
        <v>234</v>
      </c>
      <c r="D26" s="54">
        <v>145</v>
      </c>
      <c r="E26" s="54">
        <v>78</v>
      </c>
      <c r="F26" s="53"/>
      <c r="G26" s="54"/>
      <c r="H26" s="54"/>
      <c r="I26" s="54"/>
      <c r="J26" s="54"/>
      <c r="K26" s="54">
        <v>2</v>
      </c>
      <c r="L26" s="53">
        <v>2</v>
      </c>
      <c r="M26" s="54">
        <v>9</v>
      </c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3">
        <v>9</v>
      </c>
    </row>
    <row r="27" spans="1:24" x14ac:dyDescent="0.25">
      <c r="A27" s="51" t="s">
        <v>67</v>
      </c>
      <c r="B27" s="52"/>
      <c r="C27" s="53">
        <v>447</v>
      </c>
      <c r="D27" s="54">
        <v>200</v>
      </c>
      <c r="E27" s="54">
        <v>100</v>
      </c>
      <c r="F27" s="53"/>
      <c r="G27" s="54">
        <v>13</v>
      </c>
      <c r="H27" s="54">
        <v>12</v>
      </c>
      <c r="I27" s="54">
        <v>17</v>
      </c>
      <c r="J27" s="54">
        <v>22</v>
      </c>
      <c r="K27" s="54">
        <v>20</v>
      </c>
      <c r="L27" s="53">
        <v>84</v>
      </c>
      <c r="M27" s="54">
        <v>5</v>
      </c>
      <c r="N27" s="54">
        <v>4</v>
      </c>
      <c r="O27" s="54">
        <v>6</v>
      </c>
      <c r="P27" s="54">
        <v>8</v>
      </c>
      <c r="Q27" s="54">
        <v>5</v>
      </c>
      <c r="R27" s="54">
        <v>7</v>
      </c>
      <c r="S27" s="54">
        <v>5</v>
      </c>
      <c r="T27" s="54">
        <v>4</v>
      </c>
      <c r="U27" s="54">
        <v>6</v>
      </c>
      <c r="V27" s="54">
        <v>8</v>
      </c>
      <c r="W27" s="54">
        <v>5</v>
      </c>
      <c r="X27" s="53">
        <v>63</v>
      </c>
    </row>
    <row r="28" spans="1:24" x14ac:dyDescent="0.25">
      <c r="A28" s="33">
        <v>1</v>
      </c>
      <c r="B28" s="33">
        <v>2</v>
      </c>
      <c r="C28" s="33">
        <v>3</v>
      </c>
      <c r="D28" s="33">
        <v>4</v>
      </c>
      <c r="E28" s="33">
        <v>5</v>
      </c>
      <c r="F28" s="33">
        <v>6</v>
      </c>
      <c r="G28" s="33">
        <v>7</v>
      </c>
      <c r="H28" s="33">
        <v>8</v>
      </c>
      <c r="I28" s="33">
        <v>9</v>
      </c>
      <c r="J28" s="33">
        <v>10</v>
      </c>
      <c r="K28" s="33">
        <v>11</v>
      </c>
      <c r="L28" s="33">
        <v>12</v>
      </c>
      <c r="M28" s="33">
        <v>13</v>
      </c>
      <c r="N28" s="33">
        <v>14</v>
      </c>
      <c r="O28" s="33">
        <v>15</v>
      </c>
      <c r="P28" s="33">
        <v>16</v>
      </c>
      <c r="Q28" s="33">
        <v>17</v>
      </c>
      <c r="R28" s="33">
        <v>18</v>
      </c>
      <c r="S28" s="33">
        <v>19</v>
      </c>
      <c r="T28" s="33">
        <v>20</v>
      </c>
      <c r="U28" s="33">
        <v>21</v>
      </c>
      <c r="V28" s="33">
        <v>22</v>
      </c>
      <c r="W28" s="33">
        <v>23</v>
      </c>
      <c r="X28" s="33">
        <v>24</v>
      </c>
    </row>
  </sheetData>
  <mergeCells count="4">
    <mergeCell ref="A1:F1"/>
    <mergeCell ref="C2:E2"/>
    <mergeCell ref="G14:L14"/>
    <mergeCell ref="M14:X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24CC-D859-476A-82D1-A029853BA651}">
  <dimension ref="A1:H54"/>
  <sheetViews>
    <sheetView topLeftCell="A5" workbookViewId="0">
      <pane ySplit="1" topLeftCell="A6" activePane="bottomLeft" state="frozen"/>
      <selection activeCell="A5" sqref="A5"/>
      <selection pane="bottomLeft" activeCell="D41" sqref="D41"/>
    </sheetView>
  </sheetViews>
  <sheetFormatPr defaultColWidth="8.85546875" defaultRowHeight="12.75" x14ac:dyDescent="0.2"/>
  <cols>
    <col min="1" max="1" width="9.7109375" style="14" customWidth="1"/>
    <col min="2" max="2" width="14.42578125" style="14" bestFit="1" customWidth="1"/>
    <col min="3" max="3" width="13.85546875" style="14" bestFit="1" customWidth="1"/>
    <col min="4" max="4" width="13" style="14" customWidth="1"/>
    <col min="5" max="5" width="10.28515625" style="14" customWidth="1"/>
    <col min="6" max="6" width="10.5703125" style="14" customWidth="1"/>
    <col min="7" max="7" width="11.7109375" style="14" bestFit="1" customWidth="1"/>
    <col min="8" max="8" width="11.5703125" style="14" bestFit="1" customWidth="1"/>
    <col min="9" max="16384" width="8.85546875" style="14"/>
  </cols>
  <sheetData>
    <row r="1" spans="1:8" ht="18" x14ac:dyDescent="0.25">
      <c r="A1" s="119" t="s">
        <v>13</v>
      </c>
      <c r="B1" s="119"/>
      <c r="C1" s="119"/>
      <c r="D1" s="119"/>
      <c r="E1" s="119"/>
      <c r="F1" s="119"/>
      <c r="G1" s="119"/>
      <c r="H1" s="119"/>
    </row>
    <row r="4" spans="1:8" ht="15.75" thickBot="1" x14ac:dyDescent="0.3">
      <c r="C4" s="15"/>
      <c r="D4" s="15"/>
      <c r="E4" s="15"/>
      <c r="F4" s="15"/>
    </row>
    <row r="5" spans="1:8" x14ac:dyDescent="0.2">
      <c r="A5" s="16" t="s">
        <v>14</v>
      </c>
      <c r="B5" s="17" t="s">
        <v>15</v>
      </c>
      <c r="C5" s="18" t="s">
        <v>16</v>
      </c>
      <c r="D5" s="18" t="s">
        <v>17</v>
      </c>
      <c r="E5" s="18" t="s">
        <v>18</v>
      </c>
      <c r="F5" s="18" t="s">
        <v>19</v>
      </c>
      <c r="G5" s="18" t="s">
        <v>20</v>
      </c>
      <c r="H5" s="18" t="s">
        <v>21</v>
      </c>
    </row>
    <row r="6" spans="1:8" ht="15" x14ac:dyDescent="0.25">
      <c r="A6" s="19">
        <v>375757</v>
      </c>
      <c r="B6" s="19">
        <v>2</v>
      </c>
      <c r="C6" s="20">
        <v>96000</v>
      </c>
      <c r="D6" s="20">
        <v>91428.57142857142</v>
      </c>
      <c r="E6" s="19">
        <v>55</v>
      </c>
      <c r="F6" s="19">
        <v>7</v>
      </c>
      <c r="G6" s="19" t="s">
        <v>22</v>
      </c>
      <c r="H6" s="19" t="s">
        <v>22</v>
      </c>
    </row>
    <row r="7" spans="1:8" ht="15" x14ac:dyDescent="0.25">
      <c r="A7" s="19">
        <v>384691</v>
      </c>
      <c r="B7" s="19">
        <v>1</v>
      </c>
      <c r="C7" s="20">
        <v>89000</v>
      </c>
      <c r="D7" s="20">
        <v>84761.904761904763</v>
      </c>
      <c r="E7" s="19">
        <v>52</v>
      </c>
      <c r="F7" s="19">
        <v>5</v>
      </c>
      <c r="G7" s="19" t="s">
        <v>22</v>
      </c>
      <c r="H7" s="19" t="s">
        <v>22</v>
      </c>
    </row>
    <row r="8" spans="1:8" ht="15" x14ac:dyDescent="0.25">
      <c r="A8" s="19">
        <v>396332</v>
      </c>
      <c r="B8" s="19">
        <v>3</v>
      </c>
      <c r="C8" s="20">
        <v>85000</v>
      </c>
      <c r="D8" s="20"/>
      <c r="E8" s="19">
        <v>48</v>
      </c>
      <c r="F8" s="19">
        <v>1</v>
      </c>
      <c r="G8" s="19" t="s">
        <v>22</v>
      </c>
      <c r="H8" s="19"/>
    </row>
    <row r="9" spans="1:8" ht="15" x14ac:dyDescent="0.25">
      <c r="A9" s="19">
        <v>401073</v>
      </c>
      <c r="B9" s="19">
        <v>1</v>
      </c>
      <c r="C9" s="20"/>
      <c r="D9" s="20">
        <v>80000</v>
      </c>
      <c r="E9" s="19">
        <v>66</v>
      </c>
      <c r="F9" s="19"/>
      <c r="G9" s="19" t="s">
        <v>23</v>
      </c>
      <c r="H9" s="19" t="s">
        <v>23</v>
      </c>
    </row>
    <row r="10" spans="1:8" ht="15" x14ac:dyDescent="0.25">
      <c r="A10" s="19">
        <v>409118</v>
      </c>
      <c r="B10" s="19">
        <v>1</v>
      </c>
      <c r="C10" s="20">
        <v>83000</v>
      </c>
      <c r="D10" s="20">
        <v>71000</v>
      </c>
      <c r="E10" s="19">
        <v>28</v>
      </c>
      <c r="F10" s="19">
        <v>11</v>
      </c>
      <c r="G10" s="19" t="s">
        <v>22</v>
      </c>
      <c r="H10" s="19" t="s">
        <v>22</v>
      </c>
    </row>
    <row r="11" spans="1:8" ht="15" x14ac:dyDescent="0.25">
      <c r="A11" s="19">
        <v>411380</v>
      </c>
      <c r="B11" s="19">
        <v>1</v>
      </c>
      <c r="C11" s="20">
        <v>86000</v>
      </c>
      <c r="D11" s="20">
        <v>74000</v>
      </c>
      <c r="E11" s="19">
        <v>57</v>
      </c>
      <c r="F11" s="19">
        <v>27</v>
      </c>
      <c r="G11" s="19" t="s">
        <v>22</v>
      </c>
      <c r="H11" s="19" t="s">
        <v>22</v>
      </c>
    </row>
    <row r="12" spans="1:8" ht="15" x14ac:dyDescent="0.25">
      <c r="A12" s="19">
        <v>412092</v>
      </c>
      <c r="B12" s="19">
        <v>1</v>
      </c>
      <c r="C12" s="20">
        <v>87000</v>
      </c>
      <c r="D12" s="20"/>
      <c r="E12" s="19">
        <v>32</v>
      </c>
      <c r="F12" s="19">
        <v>2</v>
      </c>
      <c r="G12" s="19" t="s">
        <v>22</v>
      </c>
      <c r="H12" s="19"/>
    </row>
    <row r="13" spans="1:8" ht="15" x14ac:dyDescent="0.25">
      <c r="A13" s="19">
        <v>413369</v>
      </c>
      <c r="B13" s="19">
        <v>1</v>
      </c>
      <c r="C13" s="20">
        <v>86000</v>
      </c>
      <c r="D13" s="20"/>
      <c r="E13" s="19">
        <v>44</v>
      </c>
      <c r="F13" s="19">
        <v>14</v>
      </c>
      <c r="G13" s="19" t="s">
        <v>22</v>
      </c>
      <c r="H13" s="19"/>
    </row>
    <row r="14" spans="1:8" ht="15" x14ac:dyDescent="0.25">
      <c r="A14" s="19">
        <v>415179</v>
      </c>
      <c r="B14" s="19">
        <v>1</v>
      </c>
      <c r="C14" s="20">
        <v>75000</v>
      </c>
      <c r="D14" s="20">
        <v>63000</v>
      </c>
      <c r="E14" s="19">
        <v>32</v>
      </c>
      <c r="F14" s="19">
        <v>2</v>
      </c>
      <c r="G14" s="19" t="s">
        <v>22</v>
      </c>
      <c r="H14" s="19" t="s">
        <v>22</v>
      </c>
    </row>
    <row r="15" spans="1:8" ht="15" x14ac:dyDescent="0.25">
      <c r="A15" s="19">
        <v>422576</v>
      </c>
      <c r="B15" s="19">
        <v>1</v>
      </c>
      <c r="C15" s="20">
        <v>86000</v>
      </c>
      <c r="D15" s="20">
        <v>80000</v>
      </c>
      <c r="E15" s="19">
        <v>55</v>
      </c>
      <c r="F15" s="19"/>
      <c r="G15" s="19" t="s">
        <v>23</v>
      </c>
      <c r="H15" s="19" t="s">
        <v>22</v>
      </c>
    </row>
    <row r="16" spans="1:8" ht="15" x14ac:dyDescent="0.25">
      <c r="A16" s="19">
        <v>424060</v>
      </c>
      <c r="B16" s="19">
        <v>3</v>
      </c>
      <c r="C16" s="20">
        <v>250000</v>
      </c>
      <c r="D16" s="20">
        <v>230000</v>
      </c>
      <c r="E16" s="19">
        <v>51</v>
      </c>
      <c r="F16" s="19">
        <v>10</v>
      </c>
      <c r="G16" s="19" t="s">
        <v>22</v>
      </c>
      <c r="H16" s="19" t="s">
        <v>22</v>
      </c>
    </row>
    <row r="17" spans="1:8" ht="15" x14ac:dyDescent="0.25">
      <c r="A17" s="19">
        <v>431411</v>
      </c>
      <c r="B17" s="19">
        <v>3</v>
      </c>
      <c r="C17" s="20">
        <v>91000</v>
      </c>
      <c r="D17" s="20">
        <v>86666.666666666657</v>
      </c>
      <c r="E17" s="19">
        <v>49</v>
      </c>
      <c r="F17" s="19">
        <v>6</v>
      </c>
      <c r="G17" s="19" t="s">
        <v>22</v>
      </c>
      <c r="H17" s="19" t="s">
        <v>22</v>
      </c>
    </row>
    <row r="18" spans="1:8" ht="15" x14ac:dyDescent="0.25">
      <c r="A18" s="19">
        <v>436028</v>
      </c>
      <c r="B18" s="19">
        <v>1</v>
      </c>
      <c r="C18" s="20">
        <v>86000</v>
      </c>
      <c r="D18" s="20">
        <v>74000</v>
      </c>
      <c r="E18" s="19">
        <v>23</v>
      </c>
      <c r="F18" s="19">
        <v>3</v>
      </c>
      <c r="G18" s="19" t="s">
        <v>22</v>
      </c>
      <c r="H18" s="19" t="s">
        <v>22</v>
      </c>
    </row>
    <row r="19" spans="1:8" ht="15" x14ac:dyDescent="0.25">
      <c r="A19" s="19">
        <v>437293</v>
      </c>
      <c r="B19" s="19">
        <v>3</v>
      </c>
      <c r="C19" s="20">
        <v>86000</v>
      </c>
      <c r="D19" s="20">
        <v>80000</v>
      </c>
      <c r="E19" s="19">
        <v>51</v>
      </c>
      <c r="F19" s="19"/>
      <c r="G19" s="19" t="s">
        <v>24</v>
      </c>
      <c r="H19" s="19" t="s">
        <v>22</v>
      </c>
    </row>
    <row r="20" spans="1:8" ht="15" x14ac:dyDescent="0.25">
      <c r="A20" s="19">
        <v>438052</v>
      </c>
      <c r="B20" s="19">
        <v>1</v>
      </c>
      <c r="C20" s="20">
        <v>86000</v>
      </c>
      <c r="D20" s="20">
        <v>74000</v>
      </c>
      <c r="E20" s="19">
        <v>32</v>
      </c>
      <c r="F20" s="19">
        <v>9</v>
      </c>
      <c r="G20" s="19" t="s">
        <v>22</v>
      </c>
      <c r="H20" s="19" t="s">
        <v>22</v>
      </c>
    </row>
    <row r="21" spans="1:8" ht="15" x14ac:dyDescent="0.25">
      <c r="A21" s="19">
        <v>438638</v>
      </c>
      <c r="B21" s="19">
        <v>2</v>
      </c>
      <c r="C21" s="20">
        <v>87000</v>
      </c>
      <c r="D21" s="20">
        <v>82857.142857142855</v>
      </c>
      <c r="E21" s="19">
        <v>47</v>
      </c>
      <c r="F21" s="19">
        <v>12</v>
      </c>
      <c r="G21" s="19" t="s">
        <v>22</v>
      </c>
      <c r="H21" s="19" t="s">
        <v>22</v>
      </c>
    </row>
    <row r="22" spans="1:8" ht="15" x14ac:dyDescent="0.25">
      <c r="A22" s="19">
        <v>449418</v>
      </c>
      <c r="B22" s="19">
        <v>1</v>
      </c>
      <c r="C22" s="20">
        <v>76000</v>
      </c>
      <c r="D22" s="20">
        <v>64000</v>
      </c>
      <c r="E22" s="19">
        <v>45</v>
      </c>
      <c r="F22" s="19">
        <v>15</v>
      </c>
      <c r="G22" s="19" t="s">
        <v>22</v>
      </c>
      <c r="H22" s="19" t="s">
        <v>22</v>
      </c>
    </row>
    <row r="23" spans="1:8" ht="15" x14ac:dyDescent="0.25">
      <c r="A23" s="19">
        <v>449944</v>
      </c>
      <c r="B23" s="19">
        <v>1</v>
      </c>
      <c r="C23" s="20">
        <v>86000</v>
      </c>
      <c r="D23" s="20">
        <v>80000</v>
      </c>
      <c r="E23" s="19">
        <v>45</v>
      </c>
      <c r="F23" s="19"/>
      <c r="G23" s="19" t="s">
        <v>24</v>
      </c>
      <c r="H23" s="19" t="s">
        <v>22</v>
      </c>
    </row>
    <row r="24" spans="1:8" ht="15" x14ac:dyDescent="0.25">
      <c r="A24" s="19">
        <v>452656</v>
      </c>
      <c r="B24" s="19">
        <v>2</v>
      </c>
      <c r="C24" s="20">
        <v>93000</v>
      </c>
      <c r="D24" s="20">
        <v>88571.428571428565</v>
      </c>
      <c r="E24" s="19">
        <v>46</v>
      </c>
      <c r="F24" s="19">
        <v>18</v>
      </c>
      <c r="G24" s="19" t="s">
        <v>22</v>
      </c>
      <c r="H24" s="19" t="s">
        <v>22</v>
      </c>
    </row>
    <row r="25" spans="1:8" ht="15" x14ac:dyDescent="0.25">
      <c r="A25" s="19">
        <v>463271</v>
      </c>
      <c r="B25" s="19">
        <v>1</v>
      </c>
      <c r="C25" s="20">
        <v>54000</v>
      </c>
      <c r="D25" s="20">
        <v>42000</v>
      </c>
      <c r="E25" s="19">
        <v>32</v>
      </c>
      <c r="F25" s="19">
        <v>8</v>
      </c>
      <c r="G25" s="19" t="s">
        <v>22</v>
      </c>
      <c r="H25" s="19" t="s">
        <v>22</v>
      </c>
    </row>
    <row r="26" spans="1:8" ht="15" x14ac:dyDescent="0.25">
      <c r="A26" s="19">
        <v>463938</v>
      </c>
      <c r="B26" s="19">
        <v>1</v>
      </c>
      <c r="C26" s="20">
        <v>96000</v>
      </c>
      <c r="D26" s="20">
        <v>84000</v>
      </c>
      <c r="E26" s="19">
        <v>32</v>
      </c>
      <c r="F26" s="19">
        <v>2</v>
      </c>
      <c r="G26" s="19" t="s">
        <v>22</v>
      </c>
      <c r="H26" s="19" t="s">
        <v>22</v>
      </c>
    </row>
    <row r="27" spans="1:8" ht="15" x14ac:dyDescent="0.25">
      <c r="A27" s="19">
        <v>479102</v>
      </c>
      <c r="B27" s="19">
        <v>3</v>
      </c>
      <c r="C27" s="20">
        <v>85000</v>
      </c>
      <c r="D27" s="20"/>
      <c r="E27" s="19">
        <v>48</v>
      </c>
      <c r="F27" s="19">
        <v>1</v>
      </c>
      <c r="G27" s="19" t="s">
        <v>22</v>
      </c>
      <c r="H27" s="19"/>
    </row>
    <row r="28" spans="1:8" ht="15" x14ac:dyDescent="0.25">
      <c r="A28" s="19">
        <v>481800</v>
      </c>
      <c r="B28" s="19">
        <v>2</v>
      </c>
      <c r="C28" s="20"/>
      <c r="D28" s="20">
        <v>80000</v>
      </c>
      <c r="E28" s="19">
        <v>64</v>
      </c>
      <c r="F28" s="19"/>
      <c r="G28" s="19" t="s">
        <v>23</v>
      </c>
      <c r="H28" s="19" t="s">
        <v>23</v>
      </c>
    </row>
    <row r="29" spans="1:8" ht="15" x14ac:dyDescent="0.25">
      <c r="A29" s="19">
        <v>482078</v>
      </c>
      <c r="B29" s="19">
        <v>1</v>
      </c>
      <c r="C29" s="20">
        <v>110000</v>
      </c>
      <c r="D29" s="20">
        <v>98000</v>
      </c>
      <c r="E29" s="19">
        <v>32</v>
      </c>
      <c r="F29" s="19">
        <v>8</v>
      </c>
      <c r="G29" s="19" t="s">
        <v>22</v>
      </c>
      <c r="H29" s="19" t="s">
        <v>22</v>
      </c>
    </row>
    <row r="30" spans="1:8" ht="15" x14ac:dyDescent="0.25">
      <c r="A30" s="19">
        <v>486583</v>
      </c>
      <c r="B30" s="19">
        <v>1</v>
      </c>
      <c r="C30" s="20">
        <v>86000</v>
      </c>
      <c r="D30" s="20">
        <v>80000</v>
      </c>
      <c r="E30" s="19">
        <v>32</v>
      </c>
      <c r="F30" s="19"/>
      <c r="G30" s="19" t="s">
        <v>25</v>
      </c>
      <c r="H30" s="19" t="s">
        <v>22</v>
      </c>
    </row>
    <row r="31" spans="1:8" ht="15" x14ac:dyDescent="0.25">
      <c r="A31" s="19">
        <v>492053</v>
      </c>
      <c r="B31" s="19">
        <v>1</v>
      </c>
      <c r="C31" s="20">
        <v>86000</v>
      </c>
      <c r="D31" s="20">
        <v>74000</v>
      </c>
      <c r="E31" s="19">
        <v>32</v>
      </c>
      <c r="F31" s="19">
        <v>2</v>
      </c>
      <c r="G31" s="19" t="s">
        <v>22</v>
      </c>
      <c r="H31" s="19" t="s">
        <v>22</v>
      </c>
    </row>
    <row r="32" spans="1:8" ht="15" x14ac:dyDescent="0.25">
      <c r="A32" s="19">
        <v>492133</v>
      </c>
      <c r="B32" s="19">
        <v>1</v>
      </c>
      <c r="C32" s="20">
        <v>100000</v>
      </c>
      <c r="D32" s="20">
        <v>88000</v>
      </c>
      <c r="E32" s="19">
        <v>32</v>
      </c>
      <c r="F32" s="19">
        <v>10</v>
      </c>
      <c r="G32" s="19" t="s">
        <v>22</v>
      </c>
      <c r="H32" s="19" t="s">
        <v>22</v>
      </c>
    </row>
    <row r="33" spans="1:8" ht="15" x14ac:dyDescent="0.25">
      <c r="A33" s="19">
        <v>492176</v>
      </c>
      <c r="B33" s="19">
        <v>1</v>
      </c>
      <c r="C33" s="20">
        <v>86000</v>
      </c>
      <c r="D33" s="20">
        <v>80000</v>
      </c>
      <c r="E33" s="19">
        <v>34</v>
      </c>
      <c r="F33" s="19"/>
      <c r="G33" s="19" t="s">
        <v>25</v>
      </c>
      <c r="H33" s="19" t="s">
        <v>22</v>
      </c>
    </row>
    <row r="34" spans="1:8" ht="15" x14ac:dyDescent="0.25">
      <c r="A34" s="19">
        <v>496907</v>
      </c>
      <c r="B34" s="19">
        <v>2</v>
      </c>
      <c r="C34" s="20"/>
      <c r="D34" s="20">
        <v>80000</v>
      </c>
      <c r="E34" s="19">
        <v>59</v>
      </c>
      <c r="F34" s="19"/>
      <c r="G34" s="19" t="s">
        <v>23</v>
      </c>
      <c r="H34" s="19" t="s">
        <v>24</v>
      </c>
    </row>
    <row r="35" spans="1:8" ht="15" x14ac:dyDescent="0.25">
      <c r="A35" s="19">
        <v>507242</v>
      </c>
      <c r="B35" s="19">
        <v>1</v>
      </c>
      <c r="C35" s="20">
        <v>92000</v>
      </c>
      <c r="D35" s="20">
        <v>40000</v>
      </c>
      <c r="E35" s="19">
        <v>44</v>
      </c>
      <c r="F35" s="19">
        <v>7</v>
      </c>
      <c r="G35" s="19" t="s">
        <v>22</v>
      </c>
      <c r="H35" s="19" t="s">
        <v>22</v>
      </c>
    </row>
    <row r="36" spans="1:8" ht="15" x14ac:dyDescent="0.25">
      <c r="A36" s="19">
        <v>513820</v>
      </c>
      <c r="B36" s="19">
        <v>1</v>
      </c>
      <c r="C36" s="20"/>
      <c r="D36" s="20">
        <v>80000</v>
      </c>
      <c r="E36" s="19">
        <v>62</v>
      </c>
      <c r="F36" s="19"/>
      <c r="G36" s="19" t="s">
        <v>23</v>
      </c>
      <c r="H36" s="19" t="s">
        <v>24</v>
      </c>
    </row>
    <row r="37" spans="1:8" ht="15" x14ac:dyDescent="0.25">
      <c r="A37" s="19">
        <v>514774</v>
      </c>
      <c r="B37" s="19">
        <v>3</v>
      </c>
      <c r="C37" s="20"/>
      <c r="D37" s="20">
        <v>80000</v>
      </c>
      <c r="E37" s="19">
        <v>44</v>
      </c>
      <c r="F37" s="19"/>
      <c r="G37" s="19" t="s">
        <v>24</v>
      </c>
      <c r="H37" s="19" t="s">
        <v>24</v>
      </c>
    </row>
    <row r="38" spans="1:8" ht="15" x14ac:dyDescent="0.25">
      <c r="A38" s="19">
        <v>520201</v>
      </c>
      <c r="B38" s="19">
        <v>2</v>
      </c>
      <c r="C38" s="20"/>
      <c r="D38" s="20">
        <v>80000</v>
      </c>
      <c r="E38" s="19">
        <v>36</v>
      </c>
      <c r="F38" s="19"/>
      <c r="G38" s="19" t="s">
        <v>24</v>
      </c>
      <c r="H38" s="19" t="s">
        <v>24</v>
      </c>
    </row>
    <row r="39" spans="1:8" ht="15" x14ac:dyDescent="0.25">
      <c r="A39" s="19">
        <v>520938</v>
      </c>
      <c r="B39" s="19">
        <v>1</v>
      </c>
      <c r="C39" s="20">
        <v>23000</v>
      </c>
      <c r="D39" s="20">
        <v>11000</v>
      </c>
      <c r="E39" s="19">
        <v>36</v>
      </c>
      <c r="F39" s="19">
        <v>10</v>
      </c>
      <c r="G39" s="19" t="s">
        <v>22</v>
      </c>
      <c r="H39" s="19" t="s">
        <v>22</v>
      </c>
    </row>
    <row r="40" spans="1:8" ht="15" x14ac:dyDescent="0.25">
      <c r="A40" s="19">
        <v>521501</v>
      </c>
      <c r="B40" s="19">
        <v>1</v>
      </c>
      <c r="C40" s="20">
        <v>79000</v>
      </c>
      <c r="D40" s="20">
        <v>67000</v>
      </c>
      <c r="E40" s="19">
        <v>26</v>
      </c>
      <c r="F40" s="19">
        <v>8</v>
      </c>
      <c r="G40" s="19" t="s">
        <v>22</v>
      </c>
      <c r="H40" s="19" t="s">
        <v>22</v>
      </c>
    </row>
    <row r="41" spans="1:8" ht="15" x14ac:dyDescent="0.25">
      <c r="A41" s="19">
        <v>526149</v>
      </c>
      <c r="B41" s="19">
        <v>3</v>
      </c>
      <c r="C41" s="20">
        <v>97000</v>
      </c>
      <c r="D41" s="20">
        <v>92380.952380952382</v>
      </c>
      <c r="E41" s="19">
        <v>55</v>
      </c>
      <c r="F41" s="19">
        <v>9</v>
      </c>
      <c r="G41" s="19" t="s">
        <v>22</v>
      </c>
      <c r="H41" s="19" t="s">
        <v>22</v>
      </c>
    </row>
    <row r="42" spans="1:8" ht="15" x14ac:dyDescent="0.25">
      <c r="A42" s="19">
        <v>539134</v>
      </c>
      <c r="B42" s="19">
        <v>1</v>
      </c>
      <c r="C42" s="20">
        <v>94000</v>
      </c>
      <c r="D42" s="20">
        <v>82000</v>
      </c>
      <c r="E42" s="19">
        <v>32</v>
      </c>
      <c r="F42" s="19">
        <v>10</v>
      </c>
      <c r="G42" s="19" t="s">
        <v>22</v>
      </c>
      <c r="H42" s="19" t="s">
        <v>22</v>
      </c>
    </row>
    <row r="43" spans="1:8" ht="15" x14ac:dyDescent="0.25">
      <c r="A43" s="19">
        <v>540346</v>
      </c>
      <c r="B43" s="19">
        <v>1</v>
      </c>
      <c r="C43" s="20">
        <v>95000</v>
      </c>
      <c r="D43" s="20">
        <v>90476.190476190473</v>
      </c>
      <c r="E43" s="19">
        <v>49</v>
      </c>
      <c r="F43" s="19">
        <v>10</v>
      </c>
      <c r="G43" s="19" t="s">
        <v>22</v>
      </c>
      <c r="H43" s="19" t="s">
        <v>22</v>
      </c>
    </row>
    <row r="44" spans="1:8" ht="15" x14ac:dyDescent="0.25">
      <c r="A44" s="19">
        <v>547503</v>
      </c>
      <c r="B44" s="19">
        <v>2</v>
      </c>
      <c r="C44" s="20">
        <v>90000</v>
      </c>
      <c r="D44" s="20">
        <v>85714.28571428571</v>
      </c>
      <c r="E44" s="19">
        <v>49</v>
      </c>
      <c r="F44" s="19">
        <v>15</v>
      </c>
      <c r="G44" s="19" t="s">
        <v>22</v>
      </c>
      <c r="H44" s="19" t="s">
        <v>22</v>
      </c>
    </row>
    <row r="45" spans="1:8" ht="15" x14ac:dyDescent="0.25">
      <c r="A45" s="19">
        <v>552468</v>
      </c>
      <c r="B45" s="19">
        <v>1</v>
      </c>
      <c r="C45" s="20">
        <v>86000</v>
      </c>
      <c r="D45" s="20">
        <v>74000</v>
      </c>
      <c r="E45" s="19">
        <v>67</v>
      </c>
      <c r="F45" s="19">
        <v>37</v>
      </c>
      <c r="G45" s="19" t="s">
        <v>22</v>
      </c>
      <c r="H45" s="19" t="s">
        <v>22</v>
      </c>
    </row>
    <row r="46" spans="1:8" ht="15" x14ac:dyDescent="0.25">
      <c r="A46" s="19">
        <v>555539</v>
      </c>
      <c r="B46" s="19">
        <v>2</v>
      </c>
      <c r="C46" s="20">
        <v>86000</v>
      </c>
      <c r="D46" s="20">
        <v>80000</v>
      </c>
      <c r="E46" s="19">
        <v>58</v>
      </c>
      <c r="F46" s="19"/>
      <c r="G46" s="19" t="s">
        <v>23</v>
      </c>
      <c r="H46" s="19" t="s">
        <v>22</v>
      </c>
    </row>
    <row r="47" spans="1:8" ht="15" x14ac:dyDescent="0.25">
      <c r="A47" s="19">
        <v>561821</v>
      </c>
      <c r="B47" s="19">
        <v>1</v>
      </c>
      <c r="C47" s="20">
        <v>86000</v>
      </c>
      <c r="D47" s="20">
        <v>81904.761904761908</v>
      </c>
      <c r="E47" s="19">
        <v>47</v>
      </c>
      <c r="F47" s="19">
        <v>10</v>
      </c>
      <c r="G47" s="19" t="s">
        <v>22</v>
      </c>
      <c r="H47" s="19" t="s">
        <v>22</v>
      </c>
    </row>
    <row r="48" spans="1:8" ht="15" x14ac:dyDescent="0.25">
      <c r="A48" s="19">
        <v>564037</v>
      </c>
      <c r="B48" s="19">
        <v>1</v>
      </c>
      <c r="C48" s="20">
        <v>200000</v>
      </c>
      <c r="D48" s="20">
        <v>188000</v>
      </c>
      <c r="E48" s="19">
        <v>32</v>
      </c>
      <c r="F48" s="19">
        <v>8</v>
      </c>
      <c r="G48" s="19" t="s">
        <v>22</v>
      </c>
      <c r="H48" s="19" t="s">
        <v>22</v>
      </c>
    </row>
    <row r="49" spans="1:8" ht="15" x14ac:dyDescent="0.25">
      <c r="A49" s="19">
        <v>564894</v>
      </c>
      <c r="B49" s="19">
        <v>3</v>
      </c>
      <c r="C49" s="20">
        <v>320000</v>
      </c>
      <c r="D49" s="20">
        <v>320000</v>
      </c>
      <c r="E49" s="19">
        <v>51</v>
      </c>
      <c r="F49" s="19">
        <v>20</v>
      </c>
      <c r="G49" s="19" t="s">
        <v>22</v>
      </c>
      <c r="H49" s="19" t="s">
        <v>22</v>
      </c>
    </row>
    <row r="50" spans="1:8" ht="15" x14ac:dyDescent="0.25">
      <c r="A50" s="19">
        <v>568218</v>
      </c>
      <c r="B50" s="19">
        <v>1</v>
      </c>
      <c r="C50" s="20">
        <v>86000</v>
      </c>
      <c r="D50" s="20">
        <v>80000</v>
      </c>
      <c r="E50" s="19">
        <v>42</v>
      </c>
      <c r="F50" s="19">
        <v>22</v>
      </c>
      <c r="G50" s="19" t="s">
        <v>22</v>
      </c>
      <c r="H50" s="19" t="s">
        <v>22</v>
      </c>
    </row>
    <row r="51" spans="1:8" ht="15" x14ac:dyDescent="0.25">
      <c r="A51" s="19">
        <v>568859</v>
      </c>
      <c r="B51" s="19">
        <v>1</v>
      </c>
      <c r="C51" s="20">
        <v>98000</v>
      </c>
      <c r="D51" s="20">
        <v>93333.333333333328</v>
      </c>
      <c r="E51" s="19">
        <v>47</v>
      </c>
      <c r="F51" s="19">
        <v>11</v>
      </c>
      <c r="G51" s="19" t="s">
        <v>22</v>
      </c>
      <c r="H51" s="19" t="s">
        <v>22</v>
      </c>
    </row>
    <row r="52" spans="1:8" ht="15" x14ac:dyDescent="0.25">
      <c r="A52" s="19">
        <v>574304</v>
      </c>
      <c r="B52" s="19">
        <v>3</v>
      </c>
      <c r="C52" s="20">
        <v>88000</v>
      </c>
      <c r="D52" s="20">
        <v>83809.523809523802</v>
      </c>
      <c r="E52" s="19">
        <v>52</v>
      </c>
      <c r="F52" s="19">
        <v>14</v>
      </c>
      <c r="G52" s="19" t="s">
        <v>22</v>
      </c>
      <c r="H52" s="19" t="s">
        <v>22</v>
      </c>
    </row>
    <row r="53" spans="1:8" ht="15" x14ac:dyDescent="0.25">
      <c r="A53" s="19">
        <v>574720</v>
      </c>
      <c r="B53" s="19">
        <v>2</v>
      </c>
      <c r="C53" s="20">
        <v>99000</v>
      </c>
      <c r="D53" s="20">
        <v>94285.714285714275</v>
      </c>
      <c r="E53" s="19">
        <v>52</v>
      </c>
      <c r="F53" s="19">
        <v>21</v>
      </c>
      <c r="G53" s="19" t="s">
        <v>22</v>
      </c>
      <c r="H53" s="19" t="s">
        <v>22</v>
      </c>
    </row>
    <row r="54" spans="1:8" ht="15" x14ac:dyDescent="0.25">
      <c r="A54" s="19">
        <v>582664</v>
      </c>
      <c r="B54" s="19">
        <v>2</v>
      </c>
      <c r="C54" s="20">
        <v>84000</v>
      </c>
      <c r="D54" s="20">
        <v>80000</v>
      </c>
      <c r="E54" s="19">
        <v>52</v>
      </c>
      <c r="F54" s="19">
        <v>8</v>
      </c>
      <c r="G54" s="19" t="s">
        <v>22</v>
      </c>
      <c r="H54" s="19" t="s">
        <v>22</v>
      </c>
    </row>
  </sheetData>
  <mergeCells count="1">
    <mergeCell ref="A1:H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Benefits</vt:lpstr>
      <vt:lpstr>Distributions</vt:lpstr>
      <vt:lpstr>Grade_Report</vt:lpstr>
      <vt:lpstr>Records</vt:lpstr>
      <vt:lpstr>EeData</vt:lpstr>
      <vt:lpstr>Benefits!Print_Area</vt:lpstr>
      <vt:lpstr>Grade_Report!Print_Area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Forti</dc:creator>
  <cp:lastModifiedBy>Lauren Forti</cp:lastModifiedBy>
  <cp:lastPrinted>2022-04-03T19:39:00Z</cp:lastPrinted>
  <dcterms:created xsi:type="dcterms:W3CDTF">2022-04-01T14:00:49Z</dcterms:created>
  <dcterms:modified xsi:type="dcterms:W3CDTF">2022-04-03T19:42:41Z</dcterms:modified>
</cp:coreProperties>
</file>