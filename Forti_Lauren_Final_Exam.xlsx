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e\Documents\School\Spring 2022\DSCI 201 - Math Models - Excel\"/>
    </mc:Choice>
  </mc:AlternateContent>
  <xr:revisionPtr revIDLastSave="0" documentId="13_ncr:1_{8641FD10-F1D3-4459-B47A-47C84A18545B}" xr6:coauthVersionLast="47" xr6:coauthVersionMax="47" xr10:uidLastSave="{00000000-0000-0000-0000-000000000000}"/>
  <bookViews>
    <workbookView xWindow="-120" yWindow="-120" windowWidth="29040" windowHeight="15720" activeTab="6" xr2:uid="{89A99E39-4F76-413D-A2AE-5A13238D14A2}"/>
  </bookViews>
  <sheets>
    <sheet name="Record" sheetId="1" r:id="rId1"/>
    <sheet name="Qx" sheetId="2" r:id="rId2"/>
    <sheet name="Rate" sheetId="15" r:id="rId3"/>
    <sheet name="Annuity" sheetId="3" r:id="rId4"/>
    <sheet name="Statement" sheetId="4" r:id="rId5"/>
    <sheet name="Pivot Table" sheetId="5" r:id="rId6"/>
    <sheet name="Sort DB" sheetId="9" r:id="rId7"/>
    <sheet name="Filter Advance" sheetId="11" r:id="rId8"/>
    <sheet name="Filter DB" sheetId="12" r:id="rId9"/>
  </sheets>
  <definedNames>
    <definedName name="_xlnm._FilterDatabase" localSheetId="7" hidden="1">'Filter Advance'!$A$9:$H$19</definedName>
    <definedName name="_xlnm._FilterDatabase" localSheetId="8" hidden="1">'Filter DB'!$A$9:$H$19</definedName>
    <definedName name="_xlnm.Criteria" localSheetId="7">'Filter Advance'!$J$4:$K$6</definedName>
    <definedName name="_xlnm.Print_Area" localSheetId="3">Annuity!$A$1:$H$87</definedName>
    <definedName name="_xlnm.Print_Area" localSheetId="7">'Filter Advance'!$A$1:$H$17</definedName>
    <definedName name="_xlnm.Print_Area" localSheetId="1">Qx!$B$2:$C$119</definedName>
    <definedName name="_xlnm.Print_Area" localSheetId="0">Record!$A$1:$H$14</definedName>
    <definedName name="_xlnm.Print_Area" localSheetId="4">Statement!$B$2:$F$26</definedName>
    <definedName name="_xlnm.Print_Titles" localSheetId="3">Annuity!$12:$12</definedName>
    <definedName name="_xlnm.Print_Titles" localSheetId="1">Qx!$3:$3</definedName>
    <definedName name="Rate_Lauren">OFFSET(Rate!$A$1,MAX(1,COUNTIF(Rate!$C$4:$C$24,Rate!$C$4:$C$24&amp;"&gt;0"))-3,2,6,1)</definedName>
    <definedName name="Year_Lauren">OFFSET(Rate!$A$1,MAX(1,COUNTIF(Rate!$C$4:$C$24,Rate!$C$4:$C$24&amp;"&gt;0"))-3,1,6,1)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5" i="9"/>
  <c r="G6" i="9"/>
  <c r="G7" i="9"/>
  <c r="G8" i="9"/>
  <c r="G9" i="9"/>
  <c r="G10" i="9"/>
  <c r="G11" i="9"/>
  <c r="G12" i="9"/>
  <c r="G13" i="9"/>
  <c r="G14" i="9"/>
  <c r="H11" i="11"/>
  <c r="H12" i="11"/>
  <c r="H13" i="11"/>
  <c r="H14" i="11"/>
  <c r="H15" i="11"/>
  <c r="H16" i="11"/>
  <c r="H17" i="11"/>
  <c r="H10" i="11"/>
  <c r="H11" i="12"/>
  <c r="H12" i="12"/>
  <c r="H13" i="12"/>
  <c r="H14" i="12"/>
  <c r="H15" i="12"/>
  <c r="H16" i="12"/>
  <c r="H17" i="12"/>
  <c r="H18" i="12"/>
  <c r="H19" i="12"/>
  <c r="H10" i="12"/>
  <c r="H6" i="9"/>
  <c r="H7" i="9"/>
  <c r="H8" i="9"/>
  <c r="H9" i="9"/>
  <c r="H10" i="9"/>
  <c r="H11" i="9"/>
  <c r="H12" i="9"/>
  <c r="H13" i="9"/>
  <c r="H14" i="9"/>
  <c r="H5" i="9"/>
  <c r="H6" i="1"/>
  <c r="H7" i="1"/>
  <c r="H8" i="1"/>
  <c r="H9" i="1"/>
  <c r="H10" i="1"/>
  <c r="H11" i="1"/>
  <c r="H12" i="1"/>
  <c r="H13" i="1"/>
  <c r="H14" i="1"/>
  <c r="H5" i="1"/>
  <c r="E5" i="4"/>
  <c r="C23" i="4"/>
  <c r="G5" i="3" l="1"/>
  <c r="G7" i="3"/>
  <c r="E11" i="4" l="1"/>
  <c r="E19" i="4" s="1"/>
  <c r="C28" i="15" l="1"/>
  <c r="E8" i="4" l="1"/>
  <c r="E9" i="4" s="1"/>
  <c r="E13" i="4" s="1"/>
  <c r="E14" i="4" s="1"/>
  <c r="E7" i="4"/>
  <c r="E12" i="4" l="1"/>
  <c r="G3" i="3" s="1"/>
  <c r="B13" i="3" s="1"/>
  <c r="C13" i="3" s="1"/>
  <c r="E10" i="4"/>
  <c r="E15" i="4" l="1"/>
  <c r="E16" i="4" s="1"/>
  <c r="G4" i="3" s="1"/>
  <c r="B14" i="3"/>
  <c r="B15" i="3" s="1"/>
  <c r="D13" i="3" l="1"/>
  <c r="E13" i="3" s="1"/>
  <c r="G13" i="3" s="1"/>
  <c r="C14" i="3"/>
  <c r="D14" i="3" s="1"/>
  <c r="B16" i="3"/>
  <c r="C15" i="3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E14" i="3" l="1"/>
  <c r="G14" i="3" s="1"/>
  <c r="B17" i="3"/>
  <c r="C16" i="3"/>
  <c r="D15" i="3"/>
  <c r="G19" i="12"/>
  <c r="G18" i="12"/>
  <c r="G17" i="12"/>
  <c r="G16" i="12"/>
  <c r="G15" i="12"/>
  <c r="G14" i="12"/>
  <c r="G13" i="12"/>
  <c r="G12" i="12"/>
  <c r="G11" i="12"/>
  <c r="G6" i="12"/>
  <c r="G10" i="12"/>
  <c r="G5" i="12" s="1"/>
  <c r="D6" i="12"/>
  <c r="D5" i="12"/>
  <c r="D4" i="12"/>
  <c r="D6" i="11"/>
  <c r="D5" i="11"/>
  <c r="D4" i="11"/>
  <c r="H19" i="11"/>
  <c r="G19" i="11"/>
  <c r="H18" i="11"/>
  <c r="G18" i="11"/>
  <c r="G17" i="11"/>
  <c r="G16" i="11"/>
  <c r="G15" i="11"/>
  <c r="G14" i="11"/>
  <c r="G13" i="11"/>
  <c r="G12" i="11"/>
  <c r="G11" i="11"/>
  <c r="G10" i="11"/>
  <c r="E15" i="3" l="1"/>
  <c r="G15" i="3" s="1"/>
  <c r="C17" i="3"/>
  <c r="D16" i="3"/>
  <c r="B18" i="3"/>
  <c r="G4" i="12"/>
  <c r="G4" i="11"/>
  <c r="G6" i="11"/>
  <c r="G5" i="11"/>
  <c r="E16" i="3" l="1"/>
  <c r="G16" i="3" s="1"/>
  <c r="B19" i="3"/>
  <c r="C18" i="3"/>
  <c r="D17" i="3"/>
  <c r="E17" i="3" l="1"/>
  <c r="G17" i="3" s="1"/>
  <c r="B20" i="3"/>
  <c r="D18" i="3"/>
  <c r="C19" i="3"/>
  <c r="E18" i="3" l="1"/>
  <c r="G18" i="3" s="1"/>
  <c r="B21" i="3"/>
  <c r="D19" i="3"/>
  <c r="C20" i="3"/>
  <c r="E19" i="3" l="1"/>
  <c r="G19" i="3" s="1"/>
  <c r="B22" i="3"/>
  <c r="D20" i="3"/>
  <c r="C21" i="3"/>
  <c r="E20" i="3" l="1"/>
  <c r="G20" i="3" s="1"/>
  <c r="B23" i="3"/>
  <c r="D21" i="3"/>
  <c r="C22" i="3"/>
  <c r="E21" i="3" l="1"/>
  <c r="G21" i="3" s="1"/>
  <c r="B24" i="3"/>
  <c r="C23" i="3"/>
  <c r="D22" i="3"/>
  <c r="E22" i="3" l="1"/>
  <c r="G22" i="3" s="1"/>
  <c r="B25" i="3"/>
  <c r="C24" i="3"/>
  <c r="D23" i="3"/>
  <c r="E23" i="3" l="1"/>
  <c r="G23" i="3" s="1"/>
  <c r="B26" i="3"/>
  <c r="C25" i="3"/>
  <c r="D24" i="3"/>
  <c r="E24" i="3" l="1"/>
  <c r="G24" i="3" s="1"/>
  <c r="B27" i="3"/>
  <c r="C26" i="3"/>
  <c r="D25" i="3"/>
  <c r="E25" i="3" l="1"/>
  <c r="G25" i="3" s="1"/>
  <c r="B28" i="3"/>
  <c r="D26" i="3"/>
  <c r="C27" i="3"/>
  <c r="E26" i="3" l="1"/>
  <c r="G26" i="3" s="1"/>
  <c r="B29" i="3"/>
  <c r="D27" i="3"/>
  <c r="C28" i="3"/>
  <c r="E27" i="3" l="1"/>
  <c r="G27" i="3" s="1"/>
  <c r="B30" i="3"/>
  <c r="D28" i="3"/>
  <c r="C29" i="3"/>
  <c r="E28" i="3" l="1"/>
  <c r="G28" i="3" s="1"/>
  <c r="B31" i="3"/>
  <c r="C30" i="3"/>
  <c r="D29" i="3"/>
  <c r="E29" i="3" l="1"/>
  <c r="G29" i="3" s="1"/>
  <c r="B32" i="3"/>
  <c r="D30" i="3"/>
  <c r="C31" i="3"/>
  <c r="E30" i="3" l="1"/>
  <c r="G30" i="3" s="1"/>
  <c r="B33" i="3"/>
  <c r="C32" i="3"/>
  <c r="D31" i="3"/>
  <c r="E31" i="3" l="1"/>
  <c r="G31" i="3" s="1"/>
  <c r="B34" i="3"/>
  <c r="C33" i="3"/>
  <c r="D32" i="3"/>
  <c r="E32" i="3" l="1"/>
  <c r="G32" i="3" s="1"/>
  <c r="B35" i="3"/>
  <c r="C34" i="3"/>
  <c r="D33" i="3"/>
  <c r="E33" i="3" l="1"/>
  <c r="G33" i="3" s="1"/>
  <c r="B36" i="3"/>
  <c r="C35" i="3"/>
  <c r="D34" i="3"/>
  <c r="E34" i="3" l="1"/>
  <c r="G34" i="3" s="1"/>
  <c r="B37" i="3"/>
  <c r="D35" i="3"/>
  <c r="C36" i="3"/>
  <c r="E35" i="3" l="1"/>
  <c r="G35" i="3" s="1"/>
  <c r="B38" i="3"/>
  <c r="D36" i="3"/>
  <c r="C37" i="3"/>
  <c r="E36" i="3" l="1"/>
  <c r="G36" i="3" s="1"/>
  <c r="B39" i="3"/>
  <c r="D37" i="3"/>
  <c r="C38" i="3"/>
  <c r="E37" i="3" l="1"/>
  <c r="G37" i="3" s="1"/>
  <c r="B40" i="3"/>
  <c r="C39" i="3"/>
  <c r="D38" i="3"/>
  <c r="E38" i="3" l="1"/>
  <c r="G38" i="3" s="1"/>
  <c r="B41" i="3"/>
  <c r="C40" i="3"/>
  <c r="D39" i="3"/>
  <c r="E39" i="3" l="1"/>
  <c r="G39" i="3" s="1"/>
  <c r="B42" i="3"/>
  <c r="C41" i="3"/>
  <c r="D40" i="3"/>
  <c r="E40" i="3" l="1"/>
  <c r="G40" i="3" s="1"/>
  <c r="B43" i="3"/>
  <c r="D41" i="3"/>
  <c r="C42" i="3"/>
  <c r="E41" i="3" l="1"/>
  <c r="G41" i="3" s="1"/>
  <c r="B44" i="3"/>
  <c r="D42" i="3"/>
  <c r="C43" i="3"/>
  <c r="E42" i="3" l="1"/>
  <c r="G42" i="3" s="1"/>
  <c r="B45" i="3"/>
  <c r="D43" i="3"/>
  <c r="C44" i="3"/>
  <c r="E43" i="3" l="1"/>
  <c r="G43" i="3" s="1"/>
  <c r="B46" i="3"/>
  <c r="D44" i="3"/>
  <c r="C45" i="3"/>
  <c r="E44" i="3" l="1"/>
  <c r="G44" i="3" s="1"/>
  <c r="B47" i="3"/>
  <c r="C46" i="3"/>
  <c r="D45" i="3"/>
  <c r="E45" i="3" l="1"/>
  <c r="G45" i="3" s="1"/>
  <c r="B48" i="3"/>
  <c r="D46" i="3"/>
  <c r="C47" i="3"/>
  <c r="E46" i="3" l="1"/>
  <c r="G46" i="3" s="1"/>
  <c r="B49" i="3"/>
  <c r="C48" i="3"/>
  <c r="D47" i="3"/>
  <c r="E47" i="3" l="1"/>
  <c r="G47" i="3" s="1"/>
  <c r="B50" i="3"/>
  <c r="C49" i="3"/>
  <c r="D48" i="3"/>
  <c r="E48" i="3" l="1"/>
  <c r="G48" i="3" s="1"/>
  <c r="B51" i="3"/>
  <c r="C50" i="3"/>
  <c r="D49" i="3"/>
  <c r="E49" i="3" l="1"/>
  <c r="G49" i="3" s="1"/>
  <c r="B52" i="3"/>
  <c r="C51" i="3"/>
  <c r="D50" i="3"/>
  <c r="E50" i="3" l="1"/>
  <c r="G50" i="3" s="1"/>
  <c r="B53" i="3"/>
  <c r="D51" i="3"/>
  <c r="C52" i="3"/>
  <c r="E51" i="3" l="1"/>
  <c r="G51" i="3" s="1"/>
  <c r="B54" i="3"/>
  <c r="D52" i="3"/>
  <c r="C53" i="3"/>
  <c r="E52" i="3" l="1"/>
  <c r="G52" i="3" s="1"/>
  <c r="B55" i="3"/>
  <c r="D53" i="3"/>
  <c r="C54" i="3"/>
  <c r="E53" i="3" l="1"/>
  <c r="G53" i="3" s="1"/>
  <c r="B56" i="3"/>
  <c r="D54" i="3"/>
  <c r="C55" i="3"/>
  <c r="E54" i="3" l="1"/>
  <c r="G54" i="3" s="1"/>
  <c r="B57" i="3"/>
  <c r="C56" i="3"/>
  <c r="D55" i="3"/>
  <c r="E55" i="3" l="1"/>
  <c r="G55" i="3" s="1"/>
  <c r="B58" i="3"/>
  <c r="C57" i="3"/>
  <c r="D56" i="3"/>
  <c r="E56" i="3" l="1"/>
  <c r="G56" i="3" s="1"/>
  <c r="B59" i="3"/>
  <c r="C58" i="3"/>
  <c r="D57" i="3"/>
  <c r="E57" i="3" l="1"/>
  <c r="G57" i="3" s="1"/>
  <c r="B60" i="3"/>
  <c r="C59" i="3"/>
  <c r="D58" i="3"/>
  <c r="E58" i="3" l="1"/>
  <c r="G58" i="3" s="1"/>
  <c r="B61" i="3"/>
  <c r="D59" i="3"/>
  <c r="C60" i="3"/>
  <c r="E59" i="3" l="1"/>
  <c r="G59" i="3" s="1"/>
  <c r="B62" i="3"/>
  <c r="D60" i="3"/>
  <c r="C61" i="3"/>
  <c r="E60" i="3" l="1"/>
  <c r="G60" i="3" s="1"/>
  <c r="B63" i="3"/>
  <c r="D61" i="3"/>
  <c r="C62" i="3"/>
  <c r="E61" i="3" l="1"/>
  <c r="G61" i="3" s="1"/>
  <c r="B64" i="3"/>
  <c r="D62" i="3"/>
  <c r="C63" i="3"/>
  <c r="E62" i="3" l="1"/>
  <c r="G62" i="3" s="1"/>
  <c r="B65" i="3"/>
  <c r="C64" i="3"/>
  <c r="D63" i="3"/>
  <c r="E63" i="3" l="1"/>
  <c r="G63" i="3" s="1"/>
  <c r="B66" i="3"/>
  <c r="C65" i="3"/>
  <c r="D64" i="3"/>
  <c r="E64" i="3" l="1"/>
  <c r="G64" i="3" s="1"/>
  <c r="B67" i="3"/>
  <c r="C66" i="3"/>
  <c r="D65" i="3"/>
  <c r="E65" i="3" l="1"/>
  <c r="G65" i="3" s="1"/>
  <c r="B68" i="3"/>
  <c r="C67" i="3"/>
  <c r="D66" i="3"/>
  <c r="E66" i="3" l="1"/>
  <c r="G66" i="3" s="1"/>
  <c r="B69" i="3"/>
  <c r="D67" i="3"/>
  <c r="C68" i="3"/>
  <c r="E67" i="3" l="1"/>
  <c r="G67" i="3" s="1"/>
  <c r="B70" i="3"/>
  <c r="D68" i="3"/>
  <c r="C69" i="3"/>
  <c r="E68" i="3" l="1"/>
  <c r="G68" i="3" s="1"/>
  <c r="B71" i="3"/>
  <c r="D69" i="3"/>
  <c r="C70" i="3"/>
  <c r="E69" i="3" l="1"/>
  <c r="G69" i="3" s="1"/>
  <c r="B72" i="3"/>
  <c r="C71" i="3"/>
  <c r="D70" i="3"/>
  <c r="E70" i="3" l="1"/>
  <c r="G70" i="3" s="1"/>
  <c r="B73" i="3"/>
  <c r="C72" i="3"/>
  <c r="D71" i="3"/>
  <c r="E71" i="3" l="1"/>
  <c r="G71" i="3" s="1"/>
  <c r="B74" i="3"/>
  <c r="C73" i="3"/>
  <c r="D72" i="3"/>
  <c r="E72" i="3" l="1"/>
  <c r="G72" i="3" s="1"/>
  <c r="B75" i="3"/>
  <c r="C74" i="3"/>
  <c r="D73" i="3"/>
  <c r="E73" i="3" l="1"/>
  <c r="G73" i="3" s="1"/>
  <c r="B76" i="3"/>
  <c r="C75" i="3"/>
  <c r="D74" i="3"/>
  <c r="E74" i="3" l="1"/>
  <c r="G74" i="3" s="1"/>
  <c r="B77" i="3"/>
  <c r="D75" i="3"/>
  <c r="C76" i="3"/>
  <c r="E75" i="3" l="1"/>
  <c r="G75" i="3" s="1"/>
  <c r="B78" i="3"/>
  <c r="D76" i="3"/>
  <c r="C77" i="3"/>
  <c r="E76" i="3" l="1"/>
  <c r="G76" i="3" s="1"/>
  <c r="B79" i="3"/>
  <c r="D77" i="3"/>
  <c r="C78" i="3"/>
  <c r="E77" i="3" l="1"/>
  <c r="G77" i="3" s="1"/>
  <c r="B80" i="3"/>
  <c r="C79" i="3"/>
  <c r="D78" i="3"/>
  <c r="E78" i="3" l="1"/>
  <c r="G78" i="3" s="1"/>
  <c r="B81" i="3"/>
  <c r="C80" i="3"/>
  <c r="D79" i="3"/>
  <c r="E79" i="3" l="1"/>
  <c r="G79" i="3" s="1"/>
  <c r="B82" i="3"/>
  <c r="C81" i="3"/>
  <c r="D80" i="3"/>
  <c r="E80" i="3" l="1"/>
  <c r="G80" i="3" s="1"/>
  <c r="B83" i="3"/>
  <c r="C82" i="3"/>
  <c r="D81" i="3"/>
  <c r="E81" i="3" l="1"/>
  <c r="G81" i="3" s="1"/>
  <c r="B84" i="3"/>
  <c r="C83" i="3"/>
  <c r="D82" i="3"/>
  <c r="E82" i="3" l="1"/>
  <c r="G82" i="3" s="1"/>
  <c r="B85" i="3"/>
  <c r="D83" i="3"/>
  <c r="C84" i="3"/>
  <c r="E83" i="3" l="1"/>
  <c r="G83" i="3" s="1"/>
  <c r="B86" i="3"/>
  <c r="D84" i="3"/>
  <c r="C85" i="3"/>
  <c r="E84" i="3" l="1"/>
  <c r="G84" i="3" s="1"/>
  <c r="B87" i="3"/>
  <c r="C86" i="3"/>
  <c r="D85" i="3"/>
  <c r="E85" i="3" l="1"/>
  <c r="G85" i="3" s="1"/>
  <c r="B88" i="3"/>
  <c r="D87" i="3" s="1"/>
  <c r="D86" i="3"/>
  <c r="C87" i="3"/>
  <c r="E86" i="3" l="1"/>
  <c r="G86" i="3" s="1"/>
  <c r="B89" i="3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E87" i="3" l="1"/>
  <c r="G87" i="3" s="1"/>
  <c r="G8" i="3" s="1"/>
  <c r="G9" i="3" s="1"/>
  <c r="E17" i="4" s="1"/>
  <c r="E20" i="4" s="1"/>
</calcChain>
</file>

<file path=xl/sharedStrings.xml><?xml version="1.0" encoding="utf-8"?>
<sst xmlns="http://schemas.openxmlformats.org/spreadsheetml/2006/main" count="159" uniqueCount="74">
  <si>
    <t>ID</t>
  </si>
  <si>
    <t>Name</t>
  </si>
  <si>
    <t>Salary</t>
  </si>
  <si>
    <t>PY Salary</t>
  </si>
  <si>
    <t>Date of Hire</t>
  </si>
  <si>
    <t>Date of Birth</t>
  </si>
  <si>
    <t>Klendshoj,Roxanne</t>
  </si>
  <si>
    <t>Aho,Diane</t>
  </si>
  <si>
    <t>Nelson,Susann</t>
  </si>
  <si>
    <t>Donovan,Richard</t>
  </si>
  <si>
    <t>Woolley,Jeanne M</t>
  </si>
  <si>
    <t>Bartho,Jerome Fion</t>
  </si>
  <si>
    <t>Benson,Scott G</t>
  </si>
  <si>
    <t>Larson,DeeAnn Smith</t>
  </si>
  <si>
    <t>Carlson,Robert Lee</t>
  </si>
  <si>
    <t>Asche,Tracy A</t>
  </si>
  <si>
    <t>Valuation Date</t>
  </si>
  <si>
    <t>Employee Database</t>
  </si>
  <si>
    <t>Age</t>
  </si>
  <si>
    <t>Service</t>
  </si>
  <si>
    <t>Summary Information</t>
  </si>
  <si>
    <t>• Number of Records</t>
  </si>
  <si>
    <t>• Total salary of current year</t>
  </si>
  <si>
    <t>• Minimum age</t>
  </si>
  <si>
    <t>• Average service</t>
  </si>
  <si>
    <t>• Average salary of current year</t>
  </si>
  <si>
    <t>• Maximum age</t>
  </si>
  <si>
    <t>&gt;80000</t>
  </si>
  <si>
    <t>&gt;50</t>
  </si>
  <si>
    <t>&lt;40</t>
  </si>
  <si>
    <t>Filter Criteria</t>
  </si>
  <si>
    <t>Grand Total</t>
  </si>
  <si>
    <t>Sum of Field1</t>
  </si>
  <si>
    <t>45-50</t>
  </si>
  <si>
    <t>55-60</t>
  </si>
  <si>
    <t>60-65</t>
  </si>
  <si>
    <t>0-5</t>
  </si>
  <si>
    <t>20+</t>
  </si>
  <si>
    <t>Values</t>
  </si>
  <si>
    <t>Age by Service Table with total Salaries plus total PY Salaries</t>
  </si>
  <si>
    <t>6-10</t>
  </si>
  <si>
    <t>11-20</t>
  </si>
  <si>
    <t>Serv</t>
  </si>
  <si>
    <t>Count of Age</t>
  </si>
  <si>
    <t>Mortality Table</t>
  </si>
  <si>
    <t>qx</t>
  </si>
  <si>
    <t>Life Annuity</t>
  </si>
  <si>
    <t>Current Age</t>
  </si>
  <si>
    <t>Annual Benefit</t>
  </si>
  <si>
    <t>Interest Rate</t>
  </si>
  <si>
    <t>Contract Year</t>
  </si>
  <si>
    <t>Annuity Factor</t>
  </si>
  <si>
    <t>Annuity Value</t>
  </si>
  <si>
    <t>Qx</t>
  </si>
  <si>
    <t>px</t>
  </si>
  <si>
    <t>tpx</t>
  </si>
  <si>
    <t>Discount value</t>
  </si>
  <si>
    <t>Excel Calculation</t>
  </si>
  <si>
    <t>Benefit Statement</t>
  </si>
  <si>
    <t>Date of Participation</t>
  </si>
  <si>
    <t>Age last birthday</t>
  </si>
  <si>
    <t>Service since the participation date</t>
  </si>
  <si>
    <t>Early Retirement factor</t>
  </si>
  <si>
    <t>Early Retirement Benefit</t>
  </si>
  <si>
    <t>Annuity purchase value</t>
  </si>
  <si>
    <t>Retirement Goal</t>
  </si>
  <si>
    <t>Achieved Goal Percentage</t>
  </si>
  <si>
    <r>
      <rPr>
        <b/>
        <sz val="12"/>
        <color theme="1"/>
        <rFont val="Calibri"/>
        <family val="2"/>
        <scheme val="minor"/>
      </rPr>
      <t>Identification Number ---</t>
    </r>
    <r>
      <rPr>
        <sz val="11"/>
        <color theme="1"/>
        <rFont val="Calibri"/>
        <family val="2"/>
        <scheme val="minor"/>
      </rPr>
      <t xml:space="preserve"> input item</t>
    </r>
  </si>
  <si>
    <t>Date of Normal Retirement</t>
  </si>
  <si>
    <t>Year</t>
  </si>
  <si>
    <t>Rate</t>
  </si>
  <si>
    <t>Current Year Info</t>
  </si>
  <si>
    <t>The rate in a
year is used to
calculate
annuity value for
the contracts
made in that
year.</t>
  </si>
  <si>
    <t>For example, if a
plan is
terminated in
2019 and the
annuity contract
is purchased in
the same year,
then the rate of
4.00% is used to
determine the
annuity 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</si>
</sst>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000"/>
    <numFmt numFmtId="165" formatCode="0.0000"/>
    <numFmt numFmtId="166" formatCode="_(* #,##0_);_(* \(#,##0\);_(* &quot;-&quot;??_);_(@_)"/>
    <numFmt numFmtId="167" formatCode="0.0000;\-0.0000;\–\ "/>
    <numFmt numFmtId="168" formatCode="0.000000;\-0.000000;\–\ 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14"/>
      <color rgb="FF0066FF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2"/>
      <color rgb="FF0066F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2" tint="-9.9978637043366805E-2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/>
      <top/>
      <bottom style="thin">
        <color rgb="FFABABA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5"/>
      </top>
      <bottom style="medium">
        <color indexed="64"/>
      </bottom>
      <diagonal/>
    </border>
    <border>
      <left style="thin">
        <color indexed="65"/>
      </left>
      <right/>
      <top style="medium">
        <color indexed="64"/>
      </top>
      <bottom style="medium">
        <color indexed="64"/>
      </bottom>
      <diagonal/>
    </border>
    <border>
      <left style="thin">
        <color indexed="65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rgb="FFABABAB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ABABAB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14" fontId="5" fillId="4" borderId="0" xfId="0" applyNumberFormat="1" applyFont="1" applyFill="1" applyAlignment="1">
      <alignment horizontal="righ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/>
    <xf numFmtId="3" fontId="0" fillId="2" borderId="0" xfId="0" applyNumberFormat="1" applyFill="1"/>
    <xf numFmtId="0" fontId="5" fillId="5" borderId="1" xfId="0" applyFont="1" applyFill="1" applyBorder="1" applyAlignment="1">
      <alignment horizontal="center" vertical="center"/>
    </xf>
    <xf numFmtId="14" fontId="0" fillId="2" borderId="0" xfId="0" applyNumberFormat="1" applyFill="1" applyAlignment="1">
      <alignment horizontal="center"/>
    </xf>
    <xf numFmtId="0" fontId="3" fillId="0" borderId="10" xfId="0" applyFont="1" applyBorder="1"/>
    <xf numFmtId="1" fontId="0" fillId="2" borderId="0" xfId="0" applyNumberFormat="1" applyFill="1" applyAlignment="1">
      <alignment horizontal="center"/>
    </xf>
    <xf numFmtId="0" fontId="0" fillId="0" borderId="0" xfId="0" applyFill="1"/>
    <xf numFmtId="0" fontId="0" fillId="0" borderId="0" xfId="0" applyFont="1"/>
    <xf numFmtId="0" fontId="0" fillId="0" borderId="10" xfId="0" applyBorder="1"/>
    <xf numFmtId="0" fontId="0" fillId="0" borderId="0" xfId="0" applyBorder="1"/>
    <xf numFmtId="0" fontId="3" fillId="0" borderId="0" xfId="0" applyFont="1" applyBorder="1"/>
    <xf numFmtId="0" fontId="0" fillId="0" borderId="0" xfId="0" applyFont="1" applyBorder="1"/>
    <xf numFmtId="0" fontId="0" fillId="0" borderId="18" xfId="0" applyFont="1" applyBorder="1"/>
    <xf numFmtId="0" fontId="3" fillId="0" borderId="19" xfId="0" applyFont="1" applyBorder="1"/>
    <xf numFmtId="0" fontId="0" fillId="0" borderId="21" xfId="0" applyFont="1" applyBorder="1"/>
    <xf numFmtId="1" fontId="0" fillId="0" borderId="22" xfId="0" applyNumberFormat="1" applyBorder="1"/>
    <xf numFmtId="0" fontId="0" fillId="0" borderId="23" xfId="0" applyFont="1" applyBorder="1"/>
    <xf numFmtId="0" fontId="0" fillId="0" borderId="14" xfId="0" applyFont="1" applyBorder="1"/>
    <xf numFmtId="1" fontId="0" fillId="0" borderId="24" xfId="0" applyNumberFormat="1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9" fillId="6" borderId="17" xfId="0" applyFont="1" applyFill="1" applyBorder="1" applyAlignment="1">
      <alignment horizontal="center" vertical="center"/>
    </xf>
    <xf numFmtId="0" fontId="9" fillId="6" borderId="26" xfId="0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left" vertical="center" indent="4"/>
    </xf>
    <xf numFmtId="0" fontId="0" fillId="0" borderId="0" xfId="0" applyFont="1" applyBorder="1" applyAlignment="1"/>
    <xf numFmtId="3" fontId="0" fillId="0" borderId="0" xfId="0" applyNumberFormat="1" applyBorder="1" applyAlignment="1">
      <alignment horizontal="right"/>
    </xf>
    <xf numFmtId="3" fontId="0" fillId="0" borderId="14" xfId="0" applyNumberFormat="1" applyBorder="1" applyAlignment="1">
      <alignment horizontal="right"/>
    </xf>
    <xf numFmtId="0" fontId="0" fillId="0" borderId="14" xfId="0" applyFont="1" applyBorder="1" applyAlignment="1"/>
    <xf numFmtId="0" fontId="0" fillId="0" borderId="19" xfId="0" applyFont="1" applyBorder="1" applyAlignment="1">
      <alignment horizontal="right"/>
    </xf>
    <xf numFmtId="0" fontId="0" fillId="0" borderId="19" xfId="0" applyBorder="1" applyAlignment="1">
      <alignment horizontal="center"/>
    </xf>
    <xf numFmtId="0" fontId="0" fillId="0" borderId="19" xfId="0" applyFont="1" applyBorder="1" applyAlignment="1"/>
    <xf numFmtId="1" fontId="0" fillId="0" borderId="20" xfId="0" applyNumberFormat="1" applyBorder="1"/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9" xfId="0" applyBorder="1"/>
    <xf numFmtId="0" fontId="0" fillId="0" borderId="28" xfId="0" pivotButton="1" applyBorder="1"/>
    <xf numFmtId="0" fontId="0" fillId="0" borderId="30" xfId="0" applyBorder="1"/>
    <xf numFmtId="1" fontId="2" fillId="8" borderId="32" xfId="0" applyNumberFormat="1" applyFont="1" applyFill="1" applyBorder="1" applyAlignment="1">
      <alignment horizontal="center"/>
    </xf>
    <xf numFmtId="0" fontId="2" fillId="8" borderId="33" xfId="0" applyFont="1" applyFill="1" applyBorder="1" applyAlignment="1">
      <alignment horizontal="center"/>
    </xf>
    <xf numFmtId="0" fontId="0" fillId="0" borderId="31" xfId="0" applyBorder="1"/>
    <xf numFmtId="0" fontId="0" fillId="3" borderId="34" xfId="0" applyFill="1" applyBorder="1"/>
    <xf numFmtId="0" fontId="0" fillId="3" borderId="35" xfId="0" applyFill="1" applyBorder="1"/>
    <xf numFmtId="166" fontId="2" fillId="0" borderId="0" xfId="0" applyNumberFormat="1" applyFont="1" applyBorder="1"/>
    <xf numFmtId="166" fontId="2" fillId="0" borderId="0" xfId="0" applyNumberFormat="1" applyFont="1"/>
    <xf numFmtId="166" fontId="2" fillId="0" borderId="30" xfId="0" applyNumberFormat="1" applyFont="1" applyBorder="1"/>
    <xf numFmtId="166" fontId="2" fillId="0" borderId="36" xfId="0" applyNumberFormat="1" applyFont="1" applyBorder="1"/>
    <xf numFmtId="166" fontId="2" fillId="0" borderId="37" xfId="0" applyNumberFormat="1" applyFont="1" applyBorder="1"/>
    <xf numFmtId="166" fontId="2" fillId="0" borderId="11" xfId="0" applyNumberFormat="1" applyFont="1" applyBorder="1"/>
    <xf numFmtId="166" fontId="2" fillId="0" borderId="38" xfId="0" applyNumberFormat="1" applyFont="1" applyBorder="1"/>
    <xf numFmtId="0" fontId="0" fillId="7" borderId="32" xfId="0" applyFill="1" applyBorder="1"/>
    <xf numFmtId="0" fontId="0" fillId="3" borderId="32" xfId="0" applyFill="1" applyBorder="1"/>
    <xf numFmtId="1" fontId="8" fillId="8" borderId="2" xfId="0" applyNumberFormat="1" applyFont="1" applyFill="1" applyBorder="1" applyAlignment="1">
      <alignment horizontal="center"/>
    </xf>
    <xf numFmtId="1" fontId="8" fillId="8" borderId="3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0" fontId="0" fillId="0" borderId="2" xfId="0" pivotButton="1" applyBorder="1"/>
    <xf numFmtId="0" fontId="0" fillId="3" borderId="2" xfId="0" applyFill="1" applyBorder="1"/>
    <xf numFmtId="0" fontId="0" fillId="0" borderId="0" xfId="0" applyAlignment="1"/>
    <xf numFmtId="166" fontId="5" fillId="0" borderId="32" xfId="0" applyNumberFormat="1" applyFont="1" applyBorder="1" applyAlignment="1">
      <alignment horizontal="right"/>
    </xf>
    <xf numFmtId="1" fontId="5" fillId="0" borderId="39" xfId="0" applyNumberFormat="1" applyFont="1" applyBorder="1" applyAlignment="1">
      <alignment horizontal="right"/>
    </xf>
    <xf numFmtId="166" fontId="5" fillId="0" borderId="40" xfId="0" applyNumberFormat="1" applyFont="1" applyBorder="1" applyAlignment="1">
      <alignment horizontal="right"/>
    </xf>
    <xf numFmtId="166" fontId="5" fillId="0" borderId="5" xfId="0" applyNumberFormat="1" applyFont="1" applyBorder="1" applyAlignment="1">
      <alignment horizontal="right"/>
    </xf>
    <xf numFmtId="1" fontId="5" fillId="0" borderId="5" xfId="0" applyNumberFormat="1" applyFont="1" applyBorder="1" applyAlignment="1">
      <alignment horizontal="right"/>
    </xf>
    <xf numFmtId="1" fontId="8" fillId="8" borderId="39" xfId="0" applyNumberFormat="1" applyFont="1" applyFill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0" fillId="11" borderId="15" xfId="0" applyFill="1" applyBorder="1" applyAlignment="1">
      <alignment horizontal="center"/>
    </xf>
    <xf numFmtId="164" fontId="0" fillId="11" borderId="15" xfId="0" applyNumberFormat="1" applyFill="1" applyBorder="1" applyAlignment="1">
      <alignment horizontal="center"/>
    </xf>
    <xf numFmtId="0" fontId="0" fillId="0" borderId="15" xfId="0" applyBorder="1" applyAlignment="1">
      <alignment horizontal="center"/>
    </xf>
    <xf numFmtId="166" fontId="0" fillId="4" borderId="0" xfId="1" applyNumberFormat="1" applyFont="1" applyFill="1" applyAlignment="1">
      <alignment horizontal="right" inden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0" fillId="12" borderId="36" xfId="0" applyFill="1" applyBorder="1"/>
    <xf numFmtId="0" fontId="0" fillId="12" borderId="37" xfId="0" applyFill="1" applyBorder="1"/>
    <xf numFmtId="0" fontId="0" fillId="12" borderId="41" xfId="0" applyFill="1" applyBorder="1"/>
    <xf numFmtId="0" fontId="0" fillId="12" borderId="11" xfId="0" applyFill="1" applyBorder="1"/>
    <xf numFmtId="0" fontId="0" fillId="12" borderId="43" xfId="0" applyFill="1" applyBorder="1"/>
    <xf numFmtId="0" fontId="2" fillId="0" borderId="0" xfId="0" applyFont="1" applyBorder="1"/>
    <xf numFmtId="0" fontId="0" fillId="12" borderId="6" xfId="0" applyFill="1" applyBorder="1"/>
    <xf numFmtId="0" fontId="0" fillId="12" borderId="7" xfId="0" applyFill="1" applyBorder="1"/>
    <xf numFmtId="0" fontId="0" fillId="12" borderId="42" xfId="0" applyFill="1" applyBorder="1"/>
    <xf numFmtId="0" fontId="0" fillId="0" borderId="0" xfId="0" applyAlignment="1">
      <alignment horizontal="right"/>
    </xf>
    <xf numFmtId="0" fontId="0" fillId="12" borderId="37" xfId="0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12" borderId="7" xfId="0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7" fillId="0" borderId="1" xfId="0" applyFont="1" applyBorder="1" applyAlignment="1">
      <alignment horizontal="right"/>
    </xf>
    <xf numFmtId="14" fontId="0" fillId="0" borderId="1" xfId="0" applyNumberFormat="1" applyBorder="1" applyAlignment="1">
      <alignment horizontal="right"/>
    </xf>
    <xf numFmtId="166" fontId="0" fillId="0" borderId="1" xfId="1" applyNumberFormat="1" applyFont="1" applyBorder="1" applyAlignment="1">
      <alignment horizontal="right"/>
    </xf>
    <xf numFmtId="1" fontId="0" fillId="0" borderId="1" xfId="0" applyNumberFormat="1" applyBorder="1" applyAlignment="1">
      <alignment horizontal="right"/>
    </xf>
    <xf numFmtId="0" fontId="0" fillId="0" borderId="26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0" fontId="0" fillId="4" borderId="23" xfId="2" applyNumberFormat="1" applyFont="1" applyFill="1" applyBorder="1" applyAlignment="1">
      <alignment horizontal="center"/>
    </xf>
    <xf numFmtId="10" fontId="0" fillId="4" borderId="25" xfId="2" applyNumberFormat="1" applyFont="1" applyFill="1" applyBorder="1" applyAlignment="1">
      <alignment horizontal="center"/>
    </xf>
    <xf numFmtId="10" fontId="0" fillId="4" borderId="47" xfId="2" applyNumberFormat="1" applyFont="1" applyFill="1" applyBorder="1" applyAlignment="1">
      <alignment horizontal="center"/>
    </xf>
    <xf numFmtId="0" fontId="0" fillId="0" borderId="19" xfId="0" applyBorder="1"/>
    <xf numFmtId="0" fontId="0" fillId="0" borderId="13" xfId="0" applyBorder="1"/>
    <xf numFmtId="0" fontId="5" fillId="12" borderId="50" xfId="0" applyFont="1" applyFill="1" applyBorder="1" applyAlignment="1">
      <alignment horizontal="center"/>
    </xf>
    <xf numFmtId="0" fontId="5" fillId="12" borderId="12" xfId="0" applyFont="1" applyFill="1" applyBorder="1" applyAlignment="1">
      <alignment horizontal="center"/>
    </xf>
    <xf numFmtId="0" fontId="15" fillId="2" borderId="50" xfId="0" applyFont="1" applyFill="1" applyBorder="1" applyAlignment="1">
      <alignment horizontal="center"/>
    </xf>
    <xf numFmtId="10" fontId="15" fillId="0" borderId="12" xfId="2" applyNumberFormat="1" applyFont="1" applyBorder="1" applyAlignment="1">
      <alignment horizontal="center"/>
    </xf>
    <xf numFmtId="43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" fontId="0" fillId="4" borderId="0" xfId="0" applyNumberFormat="1" applyFill="1" applyAlignment="1">
      <alignment horizontal="right" indent="1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right" indent="1"/>
    </xf>
    <xf numFmtId="165" fontId="2" fillId="0" borderId="0" xfId="0" applyNumberFormat="1" applyFont="1"/>
    <xf numFmtId="10" fontId="0" fillId="4" borderId="0" xfId="2" applyNumberFormat="1" applyFont="1" applyFill="1" applyAlignment="1"/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1" xfId="0" applyFill="1" applyBorder="1" applyAlignment="1">
      <alignment horizontal="right"/>
    </xf>
    <xf numFmtId="43" fontId="0" fillId="0" borderId="1" xfId="0" applyNumberFormat="1" applyFill="1" applyBorder="1" applyAlignment="1">
      <alignment horizontal="right"/>
    </xf>
    <xf numFmtId="166" fontId="0" fillId="0" borderId="1" xfId="1" applyNumberFormat="1" applyFont="1" applyFill="1" applyBorder="1" applyAlignment="1">
      <alignment horizontal="right"/>
    </xf>
    <xf numFmtId="43" fontId="0" fillId="0" borderId="0" xfId="1" applyFont="1" applyFill="1" applyBorder="1" applyAlignment="1">
      <alignment horizontal="right"/>
    </xf>
    <xf numFmtId="166" fontId="0" fillId="0" borderId="1" xfId="0" applyNumberFormat="1" applyFill="1" applyBorder="1" applyAlignment="1">
      <alignment horizontal="right"/>
    </xf>
    <xf numFmtId="10" fontId="0" fillId="0" borderId="39" xfId="2" applyNumberFormat="1" applyFont="1" applyFill="1" applyBorder="1" applyAlignment="1">
      <alignment horizontal="right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0" fontId="10" fillId="10" borderId="4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5" borderId="44" xfId="0" applyFont="1" applyFill="1" applyBorder="1" applyAlignment="1">
      <alignment horizontal="center"/>
    </xf>
    <xf numFmtId="0" fontId="4" fillId="5" borderId="46" xfId="0" applyFont="1" applyFill="1" applyBorder="1" applyAlignment="1">
      <alignment horizontal="center"/>
    </xf>
    <xf numFmtId="0" fontId="14" fillId="5" borderId="48" xfId="0" applyFont="1" applyFill="1" applyBorder="1" applyAlignment="1">
      <alignment horizontal="center" vertical="top" wrapText="1"/>
    </xf>
    <xf numFmtId="0" fontId="14" fillId="5" borderId="49" xfId="0" applyFont="1" applyFill="1" applyBorder="1" applyAlignment="1">
      <alignment horizontal="center" vertical="top" wrapText="1"/>
    </xf>
    <xf numFmtId="0" fontId="13" fillId="3" borderId="43" xfId="0" applyFont="1" applyFill="1" applyBorder="1" applyAlignment="1">
      <alignment horizontal="center" vertical="top" wrapText="1"/>
    </xf>
    <xf numFmtId="0" fontId="13" fillId="3" borderId="43" xfId="0" applyFont="1" applyFill="1" applyBorder="1" applyAlignment="1">
      <alignment horizontal="center" vertical="top"/>
    </xf>
    <xf numFmtId="0" fontId="13" fillId="3" borderId="42" xfId="0" applyFont="1" applyFill="1" applyBorder="1" applyAlignment="1">
      <alignment horizontal="center" vertical="top"/>
    </xf>
    <xf numFmtId="0" fontId="4" fillId="12" borderId="2" xfId="0" applyFont="1" applyFill="1" applyBorder="1" applyAlignment="1">
      <alignment horizontal="center"/>
    </xf>
    <xf numFmtId="0" fontId="4" fillId="12" borderId="3" xfId="0" applyFont="1" applyFill="1" applyBorder="1" applyAlignment="1">
      <alignment horizontal="center"/>
    </xf>
    <xf numFmtId="0" fontId="4" fillId="12" borderId="4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4" fillId="9" borderId="44" xfId="0" applyFont="1" applyFill="1" applyBorder="1" applyAlignment="1">
      <alignment horizontal="center" vertical="center" wrapText="1"/>
    </xf>
    <xf numFmtId="0" fontId="4" fillId="9" borderId="45" xfId="0" applyFont="1" applyFill="1" applyBorder="1" applyAlignment="1">
      <alignment horizontal="center" vertical="center" wrapText="1"/>
    </xf>
    <xf numFmtId="0" fontId="4" fillId="9" borderId="46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/>
    </xf>
    <xf numFmtId="0" fontId="7" fillId="6" borderId="25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42">
    <dxf>
      <alignment horizontal="right"/>
    </dxf>
    <dxf>
      <numFmt numFmtId="1" formatCode="0"/>
    </dxf>
    <dxf>
      <alignment horizontal="center"/>
    </dxf>
    <dxf>
      <alignment horizontal="center"/>
    </dxf>
    <dxf>
      <numFmt numFmtId="1" formatCode="0"/>
    </dxf>
    <dxf>
      <alignment horizontal="center"/>
    </dxf>
    <dxf>
      <numFmt numFmtId="1" formatCode="0"/>
    </dxf>
    <dxf>
      <alignment horizontal="general"/>
    </dxf>
    <dxf>
      <border>
        <top style="medium">
          <color indexed="64"/>
        </top>
        <bottom style="medium">
          <color indexed="64"/>
        </bottom>
      </border>
    </dxf>
    <dxf>
      <fill>
        <patternFill patternType="solid">
          <bgColor theme="8" tint="0.39997558519241921"/>
        </patternFill>
      </fill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ill>
        <patternFill patternType="solid">
          <bgColor theme="8" tint="0.399975585192419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8" tint="0.39997558519241921"/>
        </patternFill>
      </fill>
    </dxf>
    <dxf>
      <font>
        <color auto="1"/>
      </font>
      <numFmt numFmtId="1" formatCode="0"/>
      <fill>
        <patternFill patternType="solid">
          <fgColor indexed="64"/>
          <bgColor theme="8" tint="0.39997558519241921"/>
        </patternFill>
      </fill>
    </dxf>
    <dxf>
      <font>
        <b/>
      </font>
    </dxf>
    <dxf>
      <alignment horizontal="center"/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ont>
        <b/>
        <color auto="1"/>
      </font>
      <numFmt numFmtId="1" formatCode="0"/>
      <fill>
        <patternFill patternType="solid">
          <fgColor indexed="64"/>
          <bgColor theme="8" tint="0.39997558519241921"/>
        </patternFill>
      </fill>
      <alignment horizontal="center"/>
    </dxf>
    <dxf>
      <border>
        <left/>
        <right/>
        <top/>
        <bottom/>
      </border>
    </dxf>
    <dxf>
      <font>
        <b/>
        <color auto="1"/>
      </font>
      <numFmt numFmtId="1" formatCode="0"/>
      <fill>
        <patternFill patternType="solid">
          <fgColor indexed="64"/>
          <bgColor theme="8" tint="0.39997558519241921"/>
        </patternFill>
      </fill>
      <alignment horizontal="center"/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</border>
    </dxf>
    <dxf>
      <font>
        <color rgb="FFFF0000"/>
      </font>
    </dxf>
    <dxf>
      <border>
        <left style="medium">
          <color indexed="64"/>
        </left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b/>
      </font>
    </dxf>
    <dxf>
      <numFmt numFmtId="166" formatCode="_(* #,##0_);_(* \(#,##0\);_(* &quot;-&quot;??_);_(@_)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b/>
      </font>
    </dxf>
    <dxf>
      <fill>
        <patternFill patternType="solid">
          <bgColor theme="8" tint="0.399975585192419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</dxfs>
  <tableStyles count="0" defaultTableStyle="TableStyleMedium2" defaultPivotStyle="PivotStyleLight16"/>
  <colors>
    <mruColors>
      <color rgb="FF0066FF"/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Rate!$B$2</c:f>
          <c:strCache>
            <c:ptCount val="1"/>
            <c:pt idx="0">
              <c:v>Interest Rate</c:v>
            </c:pt>
          </c:strCache>
        </c:strRef>
      </c:tx>
      <c:layout>
        <c:manualLayout>
          <c:xMode val="edge"/>
          <c:yMode val="edge"/>
          <c:x val="0.39031971170860658"/>
          <c:y val="4.5535324071100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249820629683322"/>
          <c:y val="0.15105671464390852"/>
          <c:w val="0.73300745182025018"/>
          <c:h val="0.67005530353977161"/>
        </c:manualLayout>
      </c:layout>
      <c:lineChart>
        <c:grouping val="standard"/>
        <c:varyColors val="0"/>
        <c:ser>
          <c:idx val="0"/>
          <c:order val="0"/>
          <c:tx>
            <c:strRef>
              <c:f>Rate!$C$3</c:f>
              <c:strCache>
                <c:ptCount val="1"/>
                <c:pt idx="0">
                  <c:v>Rate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cat>
            <c:numRef>
              <c:f>[0]!Year_Lauren</c:f>
              <c:numCache>
                <c:formatCode>General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f>(([0]!Rate_Lauren),Rate!$D$26)</c:f>
              <c:numCache>
                <c:formatCode>0.00%</c:formatCode>
                <c:ptCount val="7"/>
                <c:pt idx="0">
                  <c:v>6.5000000000000002E-2</c:v>
                </c:pt>
                <c:pt idx="1">
                  <c:v>7.2499999999999995E-2</c:v>
                </c:pt>
                <c:pt idx="2">
                  <c:v>6.5000000000000002E-2</c:v>
                </c:pt>
                <c:pt idx="3">
                  <c:v>0.04</c:v>
                </c:pt>
                <c:pt idx="4">
                  <c:v>4.4999999999999998E-2</c:v>
                </c:pt>
                <c:pt idx="5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6F-4F27-883D-8463C8945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2831743"/>
        <c:axId val="292834239"/>
      </c:lineChart>
      <c:catAx>
        <c:axId val="292831743"/>
        <c:scaling>
          <c:orientation val="minMax"/>
        </c:scaling>
        <c:delete val="0"/>
        <c:axPos val="b"/>
        <c:title>
          <c:tx>
            <c:strRef>
              <c:f>Rate!$B$3</c:f>
              <c:strCache>
                <c:ptCount val="1"/>
                <c:pt idx="0">
                  <c:v>Year</c:v>
                </c:pt>
              </c:strCache>
            </c:strRef>
          </c:tx>
          <c:layout>
            <c:manualLayout>
              <c:xMode val="edge"/>
              <c:yMode val="edge"/>
              <c:x val="0.46504327187911382"/>
              <c:y val="0.905827066958938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834239"/>
        <c:crosses val="autoZero"/>
        <c:auto val="1"/>
        <c:lblAlgn val="ctr"/>
        <c:lblOffset val="100"/>
        <c:noMultiLvlLbl val="0"/>
      </c:catAx>
      <c:valAx>
        <c:axId val="29283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strRef>
              <c:f>Rate!$C$3</c:f>
              <c:strCache>
                <c:ptCount val="1"/>
                <c:pt idx="0">
                  <c:v>Rate</c:v>
                </c:pt>
              </c:strCache>
            </c:strRef>
          </c:tx>
          <c:layout>
            <c:manualLayout>
              <c:xMode val="edge"/>
              <c:yMode val="edge"/>
              <c:x val="3.5247779710756988E-2"/>
              <c:y val="0.452575362474515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 w="44450" cmpd="sng">
            <a:solidFill>
              <a:srgbClr val="0066FF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831743"/>
        <c:crosses val="autoZero"/>
        <c:crossBetween val="between"/>
        <c:minorUnit val="2.0000000000000004E-2"/>
      </c:valAx>
      <c:spPr>
        <a:solidFill>
          <a:schemeClr val="bg1">
            <a:lumMod val="75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&amp;L&amp;A
&amp;F&amp;R&amp;T
&amp;D</c:oddFooter>
    </c:headerFooter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</xdr:colOff>
      <xdr:row>1</xdr:row>
      <xdr:rowOff>4760</xdr:rowOff>
    </xdr:from>
    <xdr:to>
      <xdr:col>19</xdr:col>
      <xdr:colOff>276225</xdr:colOff>
      <xdr:row>28</xdr:row>
      <xdr:rowOff>28574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7E63C59-F6A5-49F6-8365-6111F7866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uren Forti" refreshedDate="44678.500280902779" createdVersion="7" refreshedVersion="7" minRefreshableVersion="3" recordCount="10" xr:uid="{E8CDC056-760F-4F24-B02A-60CB811D49DD}">
  <cacheSource type="worksheet">
    <worksheetSource ref="A4:H14" sheet="Record"/>
  </cacheSource>
  <cacheFields count="10">
    <cacheField name="ID" numFmtId="0">
      <sharedItems containsSemiMixedTypes="0" containsString="0" containsNumber="1" containsInteger="1" minValue="50001" maxValue="50010"/>
    </cacheField>
    <cacheField name="Name" numFmtId="0">
      <sharedItems/>
    </cacheField>
    <cacheField name="Salary" numFmtId="3">
      <sharedItems containsSemiMixedTypes="0" containsString="0" containsNumber="1" containsInteger="1" minValue="91000" maxValue="110000"/>
    </cacheField>
    <cacheField name="PY Salary" numFmtId="3">
      <sharedItems containsSemiMixedTypes="0" containsString="0" containsNumber="1" containsInteger="1" minValue="83000" maxValue="101000"/>
    </cacheField>
    <cacheField name="Date of Birth" numFmtId="14">
      <sharedItems containsSemiMixedTypes="0" containsNonDate="0" containsDate="1" containsString="0" minDate="1954-03-02T00:00:00" maxDate="1972-06-09T00:00:00"/>
    </cacheField>
    <cacheField name="Date of Hire" numFmtId="14">
      <sharedItems containsSemiMixedTypes="0" containsNonDate="0" containsDate="1" containsString="0" minDate="1989-02-07T00:00:00" maxDate="2017-12-10T00:00:00"/>
    </cacheField>
    <cacheField name="Age" numFmtId="165">
      <sharedItems containsSemiMixedTypes="0" containsString="0" containsNumber="1" minValue="46.564168377823414" maxValue="64.830595482546201" count="10">
        <n v="64.830595482546201"/>
        <n v="64.053216974674882"/>
        <n v="63.311430527036279"/>
        <n v="62.644763860369608"/>
        <n v="62.345482546201232"/>
        <n v="60.16392881587953"/>
        <n v="56.303216974674882"/>
        <n v="55.830595482546201"/>
        <n v="46.822381930184804"/>
        <n v="46.564168377823414"/>
      </sharedItems>
      <fieldGroup base="6">
        <rangePr autoStart="0" autoEnd="0" startNum="45" endNum="65" groupInterval="5"/>
        <groupItems count="6">
          <s v="&lt;45"/>
          <s v="45-50"/>
          <s v="50-55"/>
          <s v="55-60"/>
          <s v="60-65"/>
          <s v="&gt;65"/>
        </groupItems>
      </fieldGroup>
    </cacheField>
    <cacheField name="Service" numFmtId="1">
      <sharedItems containsSemiMixedTypes="0" containsString="0" containsNumber="1" minValue="1.0614305270362767" maxValue="29.900239561943874" count="10">
        <n v="2.3278576317590693"/>
        <n v="29.356433949349761"/>
        <n v="7.2280971937029435"/>
        <n v="14.994524298425736"/>
        <n v="18.34000684462697"/>
        <n v="1.0614305270362767"/>
        <n v="29.900239561943874"/>
        <n v="19.994524298425734"/>
        <n v="26.830595482546201"/>
        <n v="6.8223819301848048"/>
      </sharedItems>
      <fieldGroup par="9"/>
    </cacheField>
    <cacheField name="Field1" numFmtId="0" formula="Salary+'PY Salary'" databaseField="0"/>
    <cacheField name="Service2" numFmtId="0" databaseField="0">
      <fieldGroup base="7">
        <discretePr count="10">
          <x v="0"/>
          <x v="3"/>
          <x v="1"/>
          <x v="2"/>
          <x v="2"/>
          <x v="0"/>
          <x v="3"/>
          <x v="2"/>
          <x v="3"/>
          <x v="1"/>
        </discretePr>
        <groupItems count="4">
          <s v="Group1"/>
          <s v="Group2"/>
          <s v="Group3"/>
          <s v="Group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50002"/>
    <s v="Woolley,Jeanne M"/>
    <n v="99000"/>
    <n v="91000"/>
    <d v="1954-03-02T00:00:00"/>
    <d v="2016-09-03T00:00:00"/>
    <x v="0"/>
    <x v="0"/>
  </r>
  <r>
    <n v="50007"/>
    <s v="Nelson,Susann"/>
    <n v="100000"/>
    <n v="92000"/>
    <d v="1954-12-12T00:00:00"/>
    <d v="1989-08-23T00:00:00"/>
    <x v="1"/>
    <x v="1"/>
  </r>
  <r>
    <n v="50004"/>
    <s v="Benson,Scott G"/>
    <n v="97000"/>
    <n v="89000"/>
    <d v="1955-09-09T00:00:00"/>
    <d v="2011-10-09T00:00:00"/>
    <x v="2"/>
    <x v="2"/>
  </r>
  <r>
    <n v="50003"/>
    <s v="Bartho,Jerome Fion"/>
    <n v="98000"/>
    <n v="90000"/>
    <d v="1956-05-09T00:00:00"/>
    <d v="2004-01-03T00:00:00"/>
    <x v="3"/>
    <x v="3"/>
  </r>
  <r>
    <n v="50009"/>
    <s v="Carlson,Robert Lee"/>
    <n v="92000"/>
    <n v="84000"/>
    <d v="1956-08-27T00:00:00"/>
    <d v="2000-08-29T00:00:00"/>
    <x v="4"/>
    <x v="4"/>
  </r>
  <r>
    <n v="50008"/>
    <s v="Asche,Tracy A"/>
    <n v="93000"/>
    <n v="85000"/>
    <d v="1958-11-02T00:00:00"/>
    <d v="2017-12-09T00:00:00"/>
    <x v="5"/>
    <x v="5"/>
  </r>
  <r>
    <n v="50010"/>
    <s v="Donovan,Richard"/>
    <n v="91000"/>
    <n v="83000"/>
    <d v="1962-09-12T00:00:00"/>
    <d v="1989-02-07T00:00:00"/>
    <x v="6"/>
    <x v="6"/>
  </r>
  <r>
    <n v="50006"/>
    <s v="Larson,DeeAnn Smith"/>
    <n v="95000"/>
    <n v="87000"/>
    <d v="1963-03-02T00:00:00"/>
    <d v="1999-01-03T00:00:00"/>
    <x v="7"/>
    <x v="7"/>
  </r>
  <r>
    <n v="50001"/>
    <s v="Klendshoj,Roxanne"/>
    <n v="110000"/>
    <n v="101000"/>
    <d v="1972-03-05T00:00:00"/>
    <d v="1992-03-02T00:00:00"/>
    <x v="8"/>
    <x v="8"/>
  </r>
  <r>
    <n v="50005"/>
    <s v="Aho,Diane"/>
    <n v="96000"/>
    <n v="88000"/>
    <d v="1972-06-08T00:00:00"/>
    <d v="2012-03-05T00:00:00"/>
    <x v="9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7827E7-ABF4-4751-A5D8-59F057130C54}" name="PivotTable1" cacheId="0" dataOnRows="1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compact="0" compactData="0" multipleFieldFilters="0" rowHeaderCaption="Age" colHeaderCaption="Service">
  <location ref="B5:H12" firstHeaderRow="1" firstDataRow="2" firstDataCol="2"/>
  <pivotFields count="10">
    <pivotField compact="0" outline="0" showAll="0" defaultSubtotal="0"/>
    <pivotField compact="0" outline="0" showAll="0" defaultSubtotal="0"/>
    <pivotField compact="0" numFmtId="3" outline="0" showAll="0" defaultSubtotal="0"/>
    <pivotField compact="0" numFmtId="3" outline="0" showAll="0" defaultSubtotal="0"/>
    <pivotField compact="0" numFmtId="14" outline="0" showAll="0" defaultSubtotal="0"/>
    <pivotField compact="0" numFmtId="14" outline="0" showAll="0" defaultSubtotal="0"/>
    <pivotField axis="axisRow" dataField="1" compact="0" numFmtId="1" outline="0" showAll="0" defaultSubtotal="0">
      <items count="6">
        <item x="0"/>
        <item x="1"/>
        <item x="2"/>
        <item x="3"/>
        <item x="4"/>
        <item x="5"/>
      </items>
    </pivotField>
    <pivotField compact="0" numFmtId="1" outline="0" showAll="0" defaultSubtotal="0">
      <items count="10">
        <item x="5"/>
        <item x="0"/>
        <item x="9"/>
        <item x="2"/>
        <item x="3"/>
        <item x="4"/>
        <item x="7"/>
        <item x="8"/>
        <item x="1"/>
        <item x="6"/>
      </items>
    </pivotField>
    <pivotField dataField="1" compact="0" outline="0" dragToRow="0" dragToCol="0" dragToPage="0" showAll="0" defaultSubtotal="0"/>
    <pivotField name="Serv" axis="axisCol" compact="0" outline="0" subtotalTop="0" showAll="0" defaultSubtotal="0">
      <items count="4">
        <item n="0-5" sd="0" x="0"/>
        <item n="6-10" sd="0" x="1"/>
        <item n="11-20" sd="0" x="2"/>
        <item n="20+" sd="0" x="3"/>
      </items>
    </pivotField>
  </pivotFields>
  <rowFields count="2">
    <field x="6"/>
    <field x="-2"/>
  </rowFields>
  <rowItems count="6">
    <i>
      <x v="1"/>
      <x/>
    </i>
    <i r="1" i="1">
      <x v="1"/>
    </i>
    <i>
      <x v="3"/>
      <x/>
    </i>
    <i r="1" i="1">
      <x v="1"/>
    </i>
    <i>
      <x v="4"/>
      <x/>
    </i>
    <i r="1" i="1">
      <x v="1"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2">
    <dataField name="Sum of Field1" fld="8" baseField="0" baseItem="0" numFmtId="3"/>
    <dataField name="Count of Age" fld="6" subtotal="count" baseField="0" baseItem="0"/>
  </dataFields>
  <formats count="42">
    <format dxfId="41">
      <pivotArea type="origin" dataOnly="0" labelOnly="1" outline="0" offset="A1" fieldPosition="0"/>
    </format>
    <format dxfId="40">
      <pivotArea type="topRight" dataOnly="0" labelOnly="1" outline="0" fieldPosition="0"/>
    </format>
    <format dxfId="39">
      <pivotArea field="7" type="button" dataOnly="0" labelOnly="1" outline="0"/>
    </format>
    <format dxfId="38">
      <pivotArea field="6" type="button" dataOnly="0" labelOnly="1" outline="0" axis="axisRow" fieldPosition="0"/>
    </format>
    <format dxfId="37">
      <pivotArea field="6" type="button" dataOnly="0" labelOnly="1" outline="0" axis="axisRow" fieldPosition="0"/>
    </format>
    <format dxfId="36">
      <pivotArea type="origin" dataOnly="0" labelOnly="1" outline="0" offset="A1" fieldPosition="0"/>
    </format>
    <format dxfId="35">
      <pivotArea dataOnly="0" labelOnly="1" grandCol="1" outline="0" fieldPosition="0"/>
    </format>
    <format dxfId="34">
      <pivotArea dataOnly="0" labelOnly="1" grandCol="1" outline="0" fieldPosition="0"/>
    </format>
    <format dxfId="33">
      <pivotArea dataOnly="0" labelOnly="1" grandCol="1" outline="0" fieldPosition="0"/>
    </format>
    <format dxfId="32">
      <pivotArea dataOnly="0" labelOnly="1" grandCol="1" outline="0" fieldPosition="0"/>
    </format>
    <format dxfId="31">
      <pivotArea field="7" type="button" dataOnly="0" labelOnly="1" outline="0"/>
    </format>
    <format dxfId="30">
      <pivotArea type="topRight" dataOnly="0" labelOnly="1" outline="0" fieldPosition="0"/>
    </format>
    <format dxfId="29">
      <pivotArea outline="0" collapsedLevelsAreSubtotals="1" fieldPosition="0"/>
    </format>
    <format dxfId="28">
      <pivotArea outline="0" collapsedLevelsAreSubtotals="1" fieldPosition="0"/>
    </format>
    <format dxfId="27">
      <pivotArea outline="0" collapsedLevelsAreSubtotals="1" fieldPosition="0"/>
    </format>
    <format dxfId="26">
      <pivotArea grandCol="1" outline="0" collapsedLevelsAreSubtotals="1" fieldPosition="0"/>
    </format>
    <format dxfId="25">
      <pivotArea grandCol="1" outline="0" collapsedLevelsAreSubtotals="1" fieldPosition="0"/>
    </format>
    <format dxfId="24">
      <pivotArea grandCol="1" outline="0" collapsedLevelsAreSubtotals="1" fieldPosition="0"/>
    </format>
    <format dxfId="23">
      <pivotArea field="9" type="button" dataOnly="0" labelOnly="1" outline="0" axis="axisCol" fieldPosition="0"/>
    </format>
    <format dxfId="22">
      <pivotArea type="topRight" dataOnly="0" labelOnly="1" outline="0" fieldPosition="0"/>
    </format>
    <format dxfId="21">
      <pivotArea dataOnly="0" labelOnly="1" outline="0" fieldPosition="0">
        <references count="1">
          <reference field="9" count="1">
            <x v="0"/>
          </reference>
        </references>
      </pivotArea>
    </format>
    <format dxfId="20">
      <pivotArea dataOnly="0" labelOnly="1" outline="0" fieldPosition="0">
        <references count="1">
          <reference field="9" count="1">
            <x v="0"/>
          </reference>
        </references>
      </pivotArea>
    </format>
    <format dxfId="19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18">
      <pivotArea dataOnly="0" labelOnly="1" outline="0" fieldPosition="0">
        <references count="1">
          <reference field="9" count="0"/>
        </references>
      </pivotArea>
    </format>
    <format dxfId="17">
      <pivotArea dataOnly="0" labelOnly="1" outline="0" fieldPosition="0">
        <references count="1">
          <reference field="6" count="3">
            <x v="1"/>
            <x v="3"/>
            <x v="4"/>
          </reference>
        </references>
      </pivotArea>
    </format>
    <format dxfId="16">
      <pivotArea dataOnly="0" labelOnly="1" outline="0" fieldPosition="0">
        <references count="1">
          <reference field="6" count="3">
            <x v="1"/>
            <x v="3"/>
            <x v="4"/>
          </reference>
        </references>
      </pivotArea>
    </format>
    <format dxfId="15">
      <pivotArea dataOnly="0" labelOnly="1" outline="0" offset="IV256" fieldPosition="0">
        <references count="1">
          <reference field="6" count="1">
            <x v="1"/>
          </reference>
        </references>
      </pivotArea>
    </format>
    <format dxfId="14">
      <pivotArea dataOnly="0" labelOnly="1" outline="0" offset="IV1" fieldPosition="0">
        <references count="1">
          <reference field="6" count="1">
            <x v="1"/>
          </reference>
        </references>
      </pivotArea>
    </format>
    <format dxfId="13">
      <pivotArea dataOnly="0" labelOnly="1" outline="0" fieldPosition="0">
        <references count="1">
          <reference field="6" count="1">
            <x v="1"/>
          </reference>
        </references>
      </pivotArea>
    </format>
    <format dxfId="12">
      <pivotArea dataOnly="0" labelOnly="1" outline="0" fieldPosition="0">
        <references count="1">
          <reference field="6" count="1">
            <x v="3"/>
          </reference>
        </references>
      </pivotArea>
    </format>
    <format dxfId="11">
      <pivotArea dataOnly="0" labelOnly="1" outline="0" fieldPosition="0">
        <references count="1">
          <reference field="6" count="1">
            <x v="3"/>
          </reference>
        </references>
      </pivotArea>
    </format>
    <format dxfId="10">
      <pivotArea dataOnly="0" labelOnly="1" outline="0" fieldPosition="0">
        <references count="1">
          <reference field="6" count="1">
            <x v="4"/>
          </reference>
        </references>
      </pivotArea>
    </format>
    <format dxfId="9">
      <pivotArea dataOnly="0" labelOnly="1" outline="0" fieldPosition="0">
        <references count="1">
          <reference field="6" count="1">
            <x v="4"/>
          </reference>
        </references>
      </pivotArea>
    </format>
    <format dxfId="8">
      <pivotArea outline="0" fieldPosition="0">
        <references count="2">
          <reference field="4294967294" count="2" selected="0">
            <x v="0"/>
            <x v="1"/>
          </reference>
          <reference field="6" count="1" selected="0">
            <x v="3"/>
          </reference>
        </references>
      </pivotArea>
    </format>
    <format dxfId="7">
      <pivotArea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format>
    <format dxfId="6">
      <pivotArea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format>
    <format dxfId="5">
      <pivotArea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format>
    <format dxfId="4">
      <pivotArea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format>
    <format dxfId="3">
      <pivotArea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format>
    <format dxfId="2">
      <pivotArea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format>
    <format dxfId="1">
      <pivotArea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format>
    <format dxfId="0">
      <pivotArea grandCol="1"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F23BD-3E0F-4B2A-9C7A-4BC1275AD603}">
  <sheetPr>
    <pageSetUpPr fitToPage="1"/>
  </sheetPr>
  <dimension ref="A1:I14"/>
  <sheetViews>
    <sheetView showGridLines="0" workbookViewId="0">
      <selection activeCell="A2" sqref="A2"/>
    </sheetView>
  </sheetViews>
  <sheetFormatPr defaultRowHeight="15" x14ac:dyDescent="0.25"/>
  <cols>
    <col min="1" max="1" width="12" style="2" customWidth="1"/>
    <col min="2" max="2" width="23.42578125" customWidth="1"/>
    <col min="3" max="3" width="11.28515625" customWidth="1"/>
    <col min="4" max="4" width="12.140625" customWidth="1"/>
    <col min="5" max="5" width="15.140625" style="2" customWidth="1"/>
    <col min="6" max="6" width="14.5703125" style="2" customWidth="1"/>
    <col min="7" max="7" width="11.28515625" style="2" customWidth="1"/>
    <col min="8" max="8" width="12.42578125" customWidth="1"/>
  </cols>
  <sheetData>
    <row r="1" spans="1:9" ht="15.75" x14ac:dyDescent="0.25">
      <c r="A1" s="6" t="s">
        <v>16</v>
      </c>
      <c r="H1" s="5">
        <v>43466</v>
      </c>
    </row>
    <row r="2" spans="1:9" ht="15.75" thickBot="1" x14ac:dyDescent="0.3"/>
    <row r="3" spans="1:9" s="4" customFormat="1" ht="16.5" customHeight="1" thickTop="1" thickBot="1" x14ac:dyDescent="0.35">
      <c r="A3" s="129" t="s">
        <v>17</v>
      </c>
      <c r="B3" s="130"/>
      <c r="C3" s="130"/>
      <c r="D3" s="130"/>
      <c r="E3" s="130"/>
      <c r="F3" s="130"/>
      <c r="G3" s="130"/>
      <c r="H3" s="130"/>
      <c r="I3" s="12"/>
    </row>
    <row r="4" spans="1:9" ht="12.75" customHeight="1" thickBot="1" x14ac:dyDescent="0.3">
      <c r="A4" s="10" t="s">
        <v>0</v>
      </c>
      <c r="B4" s="10" t="s">
        <v>1</v>
      </c>
      <c r="C4" s="10" t="s">
        <v>2</v>
      </c>
      <c r="D4" s="10" t="s">
        <v>3</v>
      </c>
      <c r="E4" s="10" t="s">
        <v>5</v>
      </c>
      <c r="F4" s="10" t="s">
        <v>4</v>
      </c>
      <c r="G4" s="10" t="s">
        <v>18</v>
      </c>
      <c r="H4" s="10" t="s">
        <v>19</v>
      </c>
    </row>
    <row r="5" spans="1:9" x14ac:dyDescent="0.25">
      <c r="A5" s="7">
        <v>50002</v>
      </c>
      <c r="B5" s="8" t="s">
        <v>10</v>
      </c>
      <c r="C5" s="9">
        <v>99000</v>
      </c>
      <c r="D5" s="9">
        <v>91000</v>
      </c>
      <c r="E5" s="11">
        <v>19785</v>
      </c>
      <c r="F5" s="11">
        <v>42616</v>
      </c>
      <c r="G5" s="13">
        <f t="shared" ref="G5:G14" si="0">YEAR($H$1)-YEAR(E5)+(MONTH($H$1)-MONTH(E5))/12+(DAY($H$1)-DAY(E5))/365.25</f>
        <v>64.830595482546201</v>
      </c>
      <c r="H5" s="13">
        <f>ROUND(YEAR($H$1)-YEAR(F5)+(MONTH($H$1)-MONTH(F5))/12+(DAY($H$1)-DAY(F5))/365.25,1)</f>
        <v>2.2999999999999998</v>
      </c>
    </row>
    <row r="6" spans="1:9" x14ac:dyDescent="0.25">
      <c r="A6" s="7">
        <v>50007</v>
      </c>
      <c r="B6" s="8" t="s">
        <v>8</v>
      </c>
      <c r="C6" s="9">
        <v>100000</v>
      </c>
      <c r="D6" s="9">
        <v>92000</v>
      </c>
      <c r="E6" s="11">
        <v>20070</v>
      </c>
      <c r="F6" s="11">
        <v>32743</v>
      </c>
      <c r="G6" s="13">
        <f t="shared" si="0"/>
        <v>64.053216974674882</v>
      </c>
      <c r="H6" s="13">
        <f t="shared" ref="H6:H14" si="1">ROUND(YEAR($H$1)-YEAR(F6)+(MONTH($H$1)-MONTH(F6))/12+(DAY($H$1)-DAY(F6))/365.25,1)</f>
        <v>29.4</v>
      </c>
    </row>
    <row r="7" spans="1:9" x14ac:dyDescent="0.25">
      <c r="A7" s="7">
        <v>50004</v>
      </c>
      <c r="B7" s="8" t="s">
        <v>12</v>
      </c>
      <c r="C7" s="9">
        <v>97000</v>
      </c>
      <c r="D7" s="9">
        <v>89000</v>
      </c>
      <c r="E7" s="11">
        <v>20341</v>
      </c>
      <c r="F7" s="11">
        <v>40825</v>
      </c>
      <c r="G7" s="13">
        <f t="shared" si="0"/>
        <v>63.311430527036279</v>
      </c>
      <c r="H7" s="13">
        <f t="shared" si="1"/>
        <v>7.2</v>
      </c>
    </row>
    <row r="8" spans="1:9" x14ac:dyDescent="0.25">
      <c r="A8" s="7">
        <v>50003</v>
      </c>
      <c r="B8" s="8" t="s">
        <v>11</v>
      </c>
      <c r="C8" s="9">
        <v>98000</v>
      </c>
      <c r="D8" s="9">
        <v>90000</v>
      </c>
      <c r="E8" s="11">
        <v>20584</v>
      </c>
      <c r="F8" s="11">
        <v>37989</v>
      </c>
      <c r="G8" s="13">
        <f t="shared" si="0"/>
        <v>62.644763860369608</v>
      </c>
      <c r="H8" s="13">
        <f t="shared" si="1"/>
        <v>15</v>
      </c>
    </row>
    <row r="9" spans="1:9" x14ac:dyDescent="0.25">
      <c r="A9" s="7">
        <v>50009</v>
      </c>
      <c r="B9" s="8" t="s">
        <v>14</v>
      </c>
      <c r="C9" s="9">
        <v>92000</v>
      </c>
      <c r="D9" s="9">
        <v>84000</v>
      </c>
      <c r="E9" s="11">
        <v>20694</v>
      </c>
      <c r="F9" s="11">
        <v>36767</v>
      </c>
      <c r="G9" s="13">
        <f t="shared" si="0"/>
        <v>62.345482546201232</v>
      </c>
      <c r="H9" s="13">
        <f t="shared" si="1"/>
        <v>18.3</v>
      </c>
    </row>
    <row r="10" spans="1:9" x14ac:dyDescent="0.25">
      <c r="A10" s="7">
        <v>50008</v>
      </c>
      <c r="B10" s="8" t="s">
        <v>15</v>
      </c>
      <c r="C10" s="9">
        <v>93000</v>
      </c>
      <c r="D10" s="9">
        <v>85000</v>
      </c>
      <c r="E10" s="11">
        <v>21491</v>
      </c>
      <c r="F10" s="11">
        <v>43078</v>
      </c>
      <c r="G10" s="13">
        <f t="shared" si="0"/>
        <v>60.16392881587953</v>
      </c>
      <c r="H10" s="13">
        <f t="shared" si="1"/>
        <v>1.1000000000000001</v>
      </c>
    </row>
    <row r="11" spans="1:9" x14ac:dyDescent="0.25">
      <c r="A11" s="7">
        <v>50010</v>
      </c>
      <c r="B11" s="8" t="s">
        <v>9</v>
      </c>
      <c r="C11" s="9">
        <v>91000</v>
      </c>
      <c r="D11" s="9">
        <v>83000</v>
      </c>
      <c r="E11" s="11">
        <v>22901</v>
      </c>
      <c r="F11" s="11">
        <v>32546</v>
      </c>
      <c r="G11" s="13">
        <f t="shared" si="0"/>
        <v>56.303216974674882</v>
      </c>
      <c r="H11" s="13">
        <f t="shared" si="1"/>
        <v>29.9</v>
      </c>
    </row>
    <row r="12" spans="1:9" x14ac:dyDescent="0.25">
      <c r="A12" s="7">
        <v>50006</v>
      </c>
      <c r="B12" s="8" t="s">
        <v>13</v>
      </c>
      <c r="C12" s="9">
        <v>95000</v>
      </c>
      <c r="D12" s="9">
        <v>87000</v>
      </c>
      <c r="E12" s="11">
        <v>23072</v>
      </c>
      <c r="F12" s="11">
        <v>36163</v>
      </c>
      <c r="G12" s="13">
        <f t="shared" si="0"/>
        <v>55.830595482546201</v>
      </c>
      <c r="H12" s="13">
        <f t="shared" si="1"/>
        <v>20</v>
      </c>
    </row>
    <row r="13" spans="1:9" x14ac:dyDescent="0.25">
      <c r="A13" s="7">
        <v>50001</v>
      </c>
      <c r="B13" s="8" t="s">
        <v>6</v>
      </c>
      <c r="C13" s="9">
        <v>110000</v>
      </c>
      <c r="D13" s="9">
        <v>101000</v>
      </c>
      <c r="E13" s="11">
        <v>26363</v>
      </c>
      <c r="F13" s="11">
        <v>33665</v>
      </c>
      <c r="G13" s="13">
        <f t="shared" si="0"/>
        <v>46.822381930184804</v>
      </c>
      <c r="H13" s="13">
        <f t="shared" si="1"/>
        <v>26.8</v>
      </c>
    </row>
    <row r="14" spans="1:9" x14ac:dyDescent="0.25">
      <c r="A14" s="7">
        <v>50005</v>
      </c>
      <c r="B14" s="8" t="s">
        <v>7</v>
      </c>
      <c r="C14" s="9">
        <v>96000</v>
      </c>
      <c r="D14" s="9">
        <v>88000</v>
      </c>
      <c r="E14" s="11">
        <v>26458</v>
      </c>
      <c r="F14" s="11">
        <v>40973</v>
      </c>
      <c r="G14" s="13">
        <f t="shared" si="0"/>
        <v>46.564168377823414</v>
      </c>
      <c r="H14" s="13">
        <f t="shared" si="1"/>
        <v>6.8</v>
      </c>
    </row>
  </sheetData>
  <sortState xmlns:xlrd2="http://schemas.microsoft.com/office/spreadsheetml/2017/richdata2" ref="A5:H14">
    <sortCondition descending="1" ref="G5:G14"/>
    <sortCondition ref="B5:B14"/>
  </sortState>
  <mergeCells count="1">
    <mergeCell ref="A3:H3"/>
  </mergeCells>
  <printOptions horizontalCentered="1"/>
  <pageMargins left="0.7" right="0.7" top="0.75" bottom="0.75" header="0.3" footer="0.3"/>
  <pageSetup orientation="landscape" r:id="rId1"/>
  <headerFooter>
    <oddFooter>&amp;L&amp;A
&amp;F&amp;R&amp;T
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8A5A-114C-4FE3-95F2-83A6E62E926A}">
  <sheetPr>
    <pageSetUpPr fitToPage="1"/>
  </sheetPr>
  <dimension ref="B1:C119"/>
  <sheetViews>
    <sheetView showGridLines="0" workbookViewId="0">
      <selection activeCell="C4" sqref="C4"/>
    </sheetView>
  </sheetViews>
  <sheetFormatPr defaultRowHeight="15" x14ac:dyDescent="0.25"/>
  <cols>
    <col min="1" max="1" width="9" customWidth="1"/>
    <col min="2" max="2" width="14.140625" customWidth="1"/>
    <col min="3" max="3" width="14.7109375" customWidth="1"/>
  </cols>
  <sheetData>
    <row r="1" spans="2:3" ht="15.75" thickBot="1" x14ac:dyDescent="0.3"/>
    <row r="2" spans="2:3" ht="16.5" thickBot="1" x14ac:dyDescent="0.3">
      <c r="B2" s="131" t="s">
        <v>44</v>
      </c>
      <c r="C2" s="132"/>
    </row>
    <row r="3" spans="2:3" x14ac:dyDescent="0.25">
      <c r="B3" s="77" t="s">
        <v>18</v>
      </c>
      <c r="C3" s="77" t="s">
        <v>45</v>
      </c>
    </row>
    <row r="4" spans="2:3" x14ac:dyDescent="0.25">
      <c r="B4" s="78">
        <v>5</v>
      </c>
      <c r="C4" s="79">
        <v>2.3699999999999999E-4</v>
      </c>
    </row>
    <row r="5" spans="2:3" x14ac:dyDescent="0.25">
      <c r="B5" s="80">
        <f>B4+1</f>
        <v>6</v>
      </c>
      <c r="C5" s="79">
        <v>2.2699999999999999E-4</v>
      </c>
    </row>
    <row r="6" spans="2:3" x14ac:dyDescent="0.25">
      <c r="B6" s="80">
        <f t="shared" ref="B6:B69" si="0">B5+1</f>
        <v>7</v>
      </c>
      <c r="C6" s="79">
        <v>2.1699999999999999E-4</v>
      </c>
    </row>
    <row r="7" spans="2:3" x14ac:dyDescent="0.25">
      <c r="B7" s="80">
        <f t="shared" si="0"/>
        <v>8</v>
      </c>
      <c r="C7" s="79">
        <v>2.0100000000000001E-4</v>
      </c>
    </row>
    <row r="8" spans="2:3" x14ac:dyDescent="0.25">
      <c r="B8" s="80">
        <f t="shared" si="0"/>
        <v>9</v>
      </c>
      <c r="C8" s="79">
        <v>1.94E-4</v>
      </c>
    </row>
    <row r="9" spans="2:3" x14ac:dyDescent="0.25">
      <c r="B9" s="80">
        <f t="shared" si="0"/>
        <v>10</v>
      </c>
      <c r="C9" s="79">
        <v>1.9699999999999999E-4</v>
      </c>
    </row>
    <row r="10" spans="2:3" x14ac:dyDescent="0.25">
      <c r="B10" s="80">
        <f t="shared" si="0"/>
        <v>11</v>
      </c>
      <c r="C10" s="79">
        <v>2.0799999999999999E-4</v>
      </c>
    </row>
    <row r="11" spans="2:3" x14ac:dyDescent="0.25">
      <c r="B11" s="80">
        <f t="shared" si="0"/>
        <v>12</v>
      </c>
      <c r="C11" s="79">
        <v>2.2599999999999999E-4</v>
      </c>
    </row>
    <row r="12" spans="2:3" x14ac:dyDescent="0.25">
      <c r="B12" s="80">
        <f t="shared" si="0"/>
        <v>13</v>
      </c>
      <c r="C12" s="79">
        <v>2.5500000000000002E-4</v>
      </c>
    </row>
    <row r="13" spans="2:3" x14ac:dyDescent="0.25">
      <c r="B13" s="80">
        <f t="shared" si="0"/>
        <v>14</v>
      </c>
      <c r="C13" s="79">
        <v>2.9700000000000001E-4</v>
      </c>
    </row>
    <row r="14" spans="2:3" x14ac:dyDescent="0.25">
      <c r="B14" s="80">
        <f t="shared" si="0"/>
        <v>15</v>
      </c>
      <c r="C14" s="79">
        <v>3.4499999999999998E-4</v>
      </c>
    </row>
    <row r="15" spans="2:3" x14ac:dyDescent="0.25">
      <c r="B15" s="80">
        <f t="shared" si="0"/>
        <v>16</v>
      </c>
      <c r="C15" s="79">
        <v>3.9100000000000002E-4</v>
      </c>
    </row>
    <row r="16" spans="2:3" x14ac:dyDescent="0.25">
      <c r="B16" s="80">
        <f t="shared" si="0"/>
        <v>17</v>
      </c>
      <c r="C16" s="79">
        <v>4.2999999999999999E-4</v>
      </c>
    </row>
    <row r="17" spans="2:3" x14ac:dyDescent="0.25">
      <c r="B17" s="80">
        <f t="shared" si="0"/>
        <v>18</v>
      </c>
      <c r="C17" s="79">
        <v>4.6000000000000001E-4</v>
      </c>
    </row>
    <row r="18" spans="2:3" x14ac:dyDescent="0.25">
      <c r="B18" s="80">
        <f t="shared" si="0"/>
        <v>19</v>
      </c>
      <c r="C18" s="79">
        <v>4.84E-4</v>
      </c>
    </row>
    <row r="19" spans="2:3" x14ac:dyDescent="0.25">
      <c r="B19" s="80">
        <f t="shared" si="0"/>
        <v>20</v>
      </c>
      <c r="C19" s="79">
        <v>5.0699999999999996E-4</v>
      </c>
    </row>
    <row r="20" spans="2:3" x14ac:dyDescent="0.25">
      <c r="B20" s="80">
        <f t="shared" si="0"/>
        <v>21</v>
      </c>
      <c r="C20" s="79">
        <v>5.2999999999999998E-4</v>
      </c>
    </row>
    <row r="21" spans="2:3" x14ac:dyDescent="0.25">
      <c r="B21" s="80">
        <f t="shared" si="0"/>
        <v>22</v>
      </c>
      <c r="C21" s="79">
        <v>5.5599999999999996E-4</v>
      </c>
    </row>
    <row r="22" spans="2:3" x14ac:dyDescent="0.25">
      <c r="B22" s="80">
        <f t="shared" si="0"/>
        <v>23</v>
      </c>
      <c r="C22" s="79">
        <v>5.8900000000000001E-4</v>
      </c>
    </row>
    <row r="23" spans="2:3" x14ac:dyDescent="0.25">
      <c r="B23" s="80">
        <f t="shared" si="0"/>
        <v>24</v>
      </c>
      <c r="C23" s="79">
        <v>6.2399999999999999E-4</v>
      </c>
    </row>
    <row r="24" spans="2:3" x14ac:dyDescent="0.25">
      <c r="B24" s="80">
        <f t="shared" si="0"/>
        <v>25</v>
      </c>
      <c r="C24" s="79">
        <v>6.6100000000000002E-4</v>
      </c>
    </row>
    <row r="25" spans="2:3" x14ac:dyDescent="0.25">
      <c r="B25" s="80">
        <f t="shared" si="0"/>
        <v>26</v>
      </c>
      <c r="C25" s="79">
        <v>6.96E-4</v>
      </c>
    </row>
    <row r="26" spans="2:3" x14ac:dyDescent="0.25">
      <c r="B26" s="80">
        <f t="shared" si="0"/>
        <v>27</v>
      </c>
      <c r="C26" s="79">
        <v>7.27E-4</v>
      </c>
    </row>
    <row r="27" spans="2:3" x14ac:dyDescent="0.25">
      <c r="B27" s="80">
        <f t="shared" si="0"/>
        <v>28</v>
      </c>
      <c r="C27" s="79">
        <v>7.54E-4</v>
      </c>
    </row>
    <row r="28" spans="2:3" x14ac:dyDescent="0.25">
      <c r="B28" s="80">
        <f t="shared" si="0"/>
        <v>29</v>
      </c>
      <c r="C28" s="79">
        <v>7.7899999999999996E-4</v>
      </c>
    </row>
    <row r="29" spans="2:3" x14ac:dyDescent="0.25">
      <c r="B29" s="80">
        <f t="shared" si="0"/>
        <v>30</v>
      </c>
      <c r="C29" s="79">
        <v>8.0099999999999995E-4</v>
      </c>
    </row>
    <row r="30" spans="2:3" x14ac:dyDescent="0.25">
      <c r="B30" s="80">
        <f t="shared" si="0"/>
        <v>31</v>
      </c>
      <c r="C30" s="79">
        <v>8.2100000000000001E-4</v>
      </c>
    </row>
    <row r="31" spans="2:3" x14ac:dyDescent="0.25">
      <c r="B31" s="80">
        <f t="shared" si="0"/>
        <v>32</v>
      </c>
      <c r="C31" s="79">
        <v>8.3900000000000001E-4</v>
      </c>
    </row>
    <row r="32" spans="2:3" x14ac:dyDescent="0.25">
      <c r="B32" s="80">
        <f t="shared" si="0"/>
        <v>33</v>
      </c>
      <c r="C32" s="79">
        <v>8.4800000000000001E-4</v>
      </c>
    </row>
    <row r="33" spans="2:3" x14ac:dyDescent="0.25">
      <c r="B33" s="80">
        <f t="shared" si="0"/>
        <v>34</v>
      </c>
      <c r="C33" s="79">
        <v>8.4900000000000004E-4</v>
      </c>
    </row>
    <row r="34" spans="2:3" x14ac:dyDescent="0.25">
      <c r="B34" s="80">
        <f t="shared" si="0"/>
        <v>35</v>
      </c>
      <c r="C34" s="79">
        <v>8.5099999999999998E-4</v>
      </c>
    </row>
    <row r="35" spans="2:3" x14ac:dyDescent="0.25">
      <c r="B35" s="80">
        <f t="shared" si="0"/>
        <v>36</v>
      </c>
      <c r="C35" s="79">
        <v>8.6200000000000003E-4</v>
      </c>
    </row>
    <row r="36" spans="2:3" x14ac:dyDescent="0.25">
      <c r="B36" s="80">
        <f t="shared" si="0"/>
        <v>37</v>
      </c>
      <c r="C36" s="79">
        <v>8.9099999999999997E-4</v>
      </c>
    </row>
    <row r="37" spans="2:3" x14ac:dyDescent="0.25">
      <c r="B37" s="80">
        <f t="shared" si="0"/>
        <v>38</v>
      </c>
      <c r="C37" s="79">
        <v>9.3899999999999995E-4</v>
      </c>
    </row>
    <row r="38" spans="2:3" x14ac:dyDescent="0.25">
      <c r="B38" s="80">
        <f t="shared" si="0"/>
        <v>39</v>
      </c>
      <c r="C38" s="79">
        <v>9.990000000000001E-4</v>
      </c>
    </row>
    <row r="39" spans="2:3" x14ac:dyDescent="0.25">
      <c r="B39" s="80">
        <f t="shared" si="0"/>
        <v>40</v>
      </c>
      <c r="C39" s="79">
        <v>1.072E-3</v>
      </c>
    </row>
    <row r="40" spans="2:3" x14ac:dyDescent="0.25">
      <c r="B40" s="80">
        <f t="shared" si="0"/>
        <v>41</v>
      </c>
      <c r="C40" s="79">
        <v>1.1559999999999999E-3</v>
      </c>
    </row>
    <row r="41" spans="2:3" x14ac:dyDescent="0.25">
      <c r="B41" s="80">
        <f t="shared" si="0"/>
        <v>42</v>
      </c>
      <c r="C41" s="79">
        <v>1.2520000000000001E-3</v>
      </c>
    </row>
    <row r="42" spans="2:3" x14ac:dyDescent="0.25">
      <c r="B42" s="80">
        <f t="shared" si="0"/>
        <v>43</v>
      </c>
      <c r="C42" s="79">
        <v>1.3519999999999999E-3</v>
      </c>
    </row>
    <row r="43" spans="2:3" x14ac:dyDescent="0.25">
      <c r="B43" s="80">
        <f t="shared" si="0"/>
        <v>44</v>
      </c>
      <c r="C43" s="79">
        <v>1.4580000000000001E-3</v>
      </c>
    </row>
    <row r="44" spans="2:3" x14ac:dyDescent="0.25">
      <c r="B44" s="80">
        <f t="shared" si="0"/>
        <v>45</v>
      </c>
      <c r="C44" s="79">
        <v>1.578E-3</v>
      </c>
    </row>
    <row r="45" spans="2:3" x14ac:dyDescent="0.25">
      <c r="B45" s="80">
        <f t="shared" si="0"/>
        <v>46</v>
      </c>
      <c r="C45" s="79">
        <v>1.722E-3</v>
      </c>
    </row>
    <row r="46" spans="2:3" x14ac:dyDescent="0.25">
      <c r="B46" s="80">
        <f t="shared" si="0"/>
        <v>47</v>
      </c>
      <c r="C46" s="79">
        <v>1.8990000000000001E-3</v>
      </c>
    </row>
    <row r="47" spans="2:3" x14ac:dyDescent="0.25">
      <c r="B47" s="80">
        <f t="shared" si="0"/>
        <v>48</v>
      </c>
      <c r="C47" s="79">
        <v>2.1020000000000001E-3</v>
      </c>
    </row>
    <row r="48" spans="2:3" x14ac:dyDescent="0.25">
      <c r="B48" s="80">
        <f t="shared" si="0"/>
        <v>49</v>
      </c>
      <c r="C48" s="79">
        <v>2.3259999999999999E-3</v>
      </c>
    </row>
    <row r="49" spans="2:3" x14ac:dyDescent="0.25">
      <c r="B49" s="80">
        <f t="shared" si="0"/>
        <v>50</v>
      </c>
      <c r="C49" s="79">
        <v>2.5790000000000001E-3</v>
      </c>
    </row>
    <row r="50" spans="2:3" x14ac:dyDescent="0.25">
      <c r="B50" s="80">
        <f t="shared" si="0"/>
        <v>51</v>
      </c>
      <c r="C50" s="79">
        <v>2.872E-3</v>
      </c>
    </row>
    <row r="51" spans="2:3" x14ac:dyDescent="0.25">
      <c r="B51" s="80">
        <f t="shared" si="0"/>
        <v>52</v>
      </c>
      <c r="C51" s="79">
        <v>3.2130000000000001E-3</v>
      </c>
    </row>
    <row r="52" spans="2:3" x14ac:dyDescent="0.25">
      <c r="B52" s="80">
        <f t="shared" si="0"/>
        <v>53</v>
      </c>
      <c r="C52" s="79">
        <v>3.5839999999999999E-3</v>
      </c>
    </row>
    <row r="53" spans="2:3" x14ac:dyDescent="0.25">
      <c r="B53" s="80">
        <f t="shared" si="0"/>
        <v>54</v>
      </c>
      <c r="C53" s="79">
        <v>3.9789999999999999E-3</v>
      </c>
    </row>
    <row r="54" spans="2:3" x14ac:dyDescent="0.25">
      <c r="B54" s="80">
        <f t="shared" si="0"/>
        <v>55</v>
      </c>
      <c r="C54" s="79">
        <v>4.4250000000000001E-3</v>
      </c>
    </row>
    <row r="55" spans="2:3" x14ac:dyDescent="0.25">
      <c r="B55" s="80">
        <f t="shared" si="0"/>
        <v>56</v>
      </c>
      <c r="C55" s="79">
        <v>4.9490000000000003E-3</v>
      </c>
    </row>
    <row r="56" spans="2:3" x14ac:dyDescent="0.25">
      <c r="B56" s="80">
        <f t="shared" si="0"/>
        <v>57</v>
      </c>
      <c r="C56" s="79">
        <v>5.581E-3</v>
      </c>
    </row>
    <row r="57" spans="2:3" x14ac:dyDescent="0.25">
      <c r="B57" s="80">
        <f t="shared" si="0"/>
        <v>58</v>
      </c>
      <c r="C57" s="79">
        <v>6.3E-3</v>
      </c>
    </row>
    <row r="58" spans="2:3" x14ac:dyDescent="0.25">
      <c r="B58" s="80">
        <f t="shared" si="0"/>
        <v>59</v>
      </c>
      <c r="C58" s="79">
        <v>7.0899999999999999E-3</v>
      </c>
    </row>
    <row r="59" spans="2:3" x14ac:dyDescent="0.25">
      <c r="B59" s="80">
        <f t="shared" si="0"/>
        <v>60</v>
      </c>
      <c r="C59" s="79">
        <v>7.9760000000000005E-3</v>
      </c>
    </row>
    <row r="60" spans="2:3" x14ac:dyDescent="0.25">
      <c r="B60" s="80">
        <f t="shared" si="0"/>
        <v>61</v>
      </c>
      <c r="C60" s="79">
        <v>8.9859999999999992E-3</v>
      </c>
    </row>
    <row r="61" spans="2:3" x14ac:dyDescent="0.25">
      <c r="B61" s="80">
        <f t="shared" si="0"/>
        <v>62</v>
      </c>
      <c r="C61" s="79">
        <v>1.0147E-2</v>
      </c>
    </row>
    <row r="62" spans="2:3" x14ac:dyDescent="0.25">
      <c r="B62" s="80">
        <f t="shared" si="0"/>
        <v>63</v>
      </c>
      <c r="C62" s="79">
        <v>1.1471E-2</v>
      </c>
    </row>
    <row r="63" spans="2:3" x14ac:dyDescent="0.25">
      <c r="B63" s="80">
        <f t="shared" si="0"/>
        <v>64</v>
      </c>
      <c r="C63" s="79">
        <v>1.294E-2</v>
      </c>
    </row>
    <row r="64" spans="2:3" x14ac:dyDescent="0.25">
      <c r="B64" s="80">
        <f t="shared" si="0"/>
        <v>65</v>
      </c>
      <c r="C64" s="79">
        <v>1.4534999999999999E-2</v>
      </c>
    </row>
    <row r="65" spans="2:3" x14ac:dyDescent="0.25">
      <c r="B65" s="80">
        <f t="shared" si="0"/>
        <v>66</v>
      </c>
      <c r="C65" s="79">
        <v>1.6239E-2</v>
      </c>
    </row>
    <row r="66" spans="2:3" x14ac:dyDescent="0.25">
      <c r="B66" s="80">
        <f t="shared" si="0"/>
        <v>67</v>
      </c>
      <c r="C66" s="79">
        <v>1.8034000000000001E-2</v>
      </c>
    </row>
    <row r="67" spans="2:3" x14ac:dyDescent="0.25">
      <c r="B67" s="80">
        <f t="shared" si="0"/>
        <v>68</v>
      </c>
      <c r="C67" s="79">
        <v>1.9859000000000002E-2</v>
      </c>
    </row>
    <row r="68" spans="2:3" x14ac:dyDescent="0.25">
      <c r="B68" s="80">
        <f t="shared" si="0"/>
        <v>69</v>
      </c>
      <c r="C68" s="79">
        <v>2.1728999999999998E-2</v>
      </c>
    </row>
    <row r="69" spans="2:3" x14ac:dyDescent="0.25">
      <c r="B69" s="80">
        <f t="shared" si="0"/>
        <v>70</v>
      </c>
      <c r="C69" s="79">
        <v>2.3730000000000001E-2</v>
      </c>
    </row>
    <row r="70" spans="2:3" x14ac:dyDescent="0.25">
      <c r="B70" s="80">
        <f t="shared" ref="B70:B119" si="1">B69+1</f>
        <v>71</v>
      </c>
      <c r="C70" s="79">
        <v>2.5950999999999998E-2</v>
      </c>
    </row>
    <row r="71" spans="2:3" x14ac:dyDescent="0.25">
      <c r="B71" s="80">
        <f t="shared" si="1"/>
        <v>72</v>
      </c>
      <c r="C71" s="79">
        <v>2.8480999999999999E-2</v>
      </c>
    </row>
    <row r="72" spans="2:3" x14ac:dyDescent="0.25">
      <c r="B72" s="80">
        <f t="shared" si="1"/>
        <v>73</v>
      </c>
      <c r="C72" s="79">
        <v>3.1201E-2</v>
      </c>
    </row>
    <row r="73" spans="2:3" x14ac:dyDescent="0.25">
      <c r="B73" s="80">
        <f t="shared" si="1"/>
        <v>74</v>
      </c>
      <c r="C73" s="79">
        <v>3.4050999999999998E-2</v>
      </c>
    </row>
    <row r="74" spans="2:3" x14ac:dyDescent="0.25">
      <c r="B74" s="80">
        <f t="shared" si="1"/>
        <v>75</v>
      </c>
      <c r="C74" s="79">
        <v>3.7211000000000001E-2</v>
      </c>
    </row>
    <row r="75" spans="2:3" x14ac:dyDescent="0.25">
      <c r="B75" s="80">
        <f t="shared" si="1"/>
        <v>76</v>
      </c>
      <c r="C75" s="79">
        <v>4.0857999999999998E-2</v>
      </c>
    </row>
    <row r="76" spans="2:3" x14ac:dyDescent="0.25">
      <c r="B76" s="80">
        <f t="shared" si="1"/>
        <v>77</v>
      </c>
      <c r="C76" s="79">
        <v>4.5171000000000003E-2</v>
      </c>
    </row>
    <row r="77" spans="2:3" x14ac:dyDescent="0.25">
      <c r="B77" s="80">
        <f t="shared" si="1"/>
        <v>78</v>
      </c>
      <c r="C77" s="79">
        <v>5.0210999999999999E-2</v>
      </c>
    </row>
    <row r="78" spans="2:3" x14ac:dyDescent="0.25">
      <c r="B78" s="80">
        <f t="shared" si="1"/>
        <v>79</v>
      </c>
      <c r="C78" s="79">
        <v>5.5861000000000001E-2</v>
      </c>
    </row>
    <row r="79" spans="2:3" x14ac:dyDescent="0.25">
      <c r="B79" s="80">
        <f t="shared" si="1"/>
        <v>80</v>
      </c>
      <c r="C79" s="79">
        <v>6.2026999999999999E-2</v>
      </c>
    </row>
    <row r="80" spans="2:3" x14ac:dyDescent="0.25">
      <c r="B80" s="80">
        <f t="shared" si="1"/>
        <v>81</v>
      </c>
      <c r="C80" s="79">
        <v>6.8614999999999995E-2</v>
      </c>
    </row>
    <row r="81" spans="2:3" x14ac:dyDescent="0.25">
      <c r="B81" s="80">
        <f t="shared" si="1"/>
        <v>82</v>
      </c>
      <c r="C81" s="79">
        <v>7.5532000000000002E-2</v>
      </c>
    </row>
    <row r="82" spans="2:3" x14ac:dyDescent="0.25">
      <c r="B82" s="80">
        <f t="shared" si="1"/>
        <v>83</v>
      </c>
      <c r="C82" s="79">
        <v>8.251E-2</v>
      </c>
    </row>
    <row r="83" spans="2:3" x14ac:dyDescent="0.25">
      <c r="B83" s="80">
        <f t="shared" si="1"/>
        <v>84</v>
      </c>
      <c r="C83" s="79">
        <v>8.9612999999999998E-2</v>
      </c>
    </row>
    <row r="84" spans="2:3" x14ac:dyDescent="0.25">
      <c r="B84" s="80">
        <f t="shared" si="1"/>
        <v>85</v>
      </c>
      <c r="C84" s="79">
        <v>9.7239999999999993E-2</v>
      </c>
    </row>
    <row r="85" spans="2:3" x14ac:dyDescent="0.25">
      <c r="B85" s="80">
        <f t="shared" si="1"/>
        <v>86</v>
      </c>
      <c r="C85" s="79">
        <v>0.105792</v>
      </c>
    </row>
    <row r="86" spans="2:3" x14ac:dyDescent="0.25">
      <c r="B86" s="80">
        <f t="shared" si="1"/>
        <v>87</v>
      </c>
      <c r="C86" s="79">
        <v>0.115671</v>
      </c>
    </row>
    <row r="87" spans="2:3" x14ac:dyDescent="0.25">
      <c r="B87" s="80">
        <f t="shared" si="1"/>
        <v>88</v>
      </c>
      <c r="C87" s="79">
        <v>0.12698000000000001</v>
      </c>
    </row>
    <row r="88" spans="2:3" x14ac:dyDescent="0.25">
      <c r="B88" s="80">
        <f t="shared" si="1"/>
        <v>89</v>
      </c>
      <c r="C88" s="79">
        <v>0.13945199999999999</v>
      </c>
    </row>
    <row r="89" spans="2:3" x14ac:dyDescent="0.25">
      <c r="B89" s="80">
        <f t="shared" si="1"/>
        <v>90</v>
      </c>
      <c r="C89" s="79">
        <v>0.15293100000000001</v>
      </c>
    </row>
    <row r="90" spans="2:3" x14ac:dyDescent="0.25">
      <c r="B90" s="80">
        <f t="shared" si="1"/>
        <v>91</v>
      </c>
      <c r="C90" s="79">
        <v>0.16725999999999999</v>
      </c>
    </row>
    <row r="91" spans="2:3" x14ac:dyDescent="0.25">
      <c r="B91" s="80">
        <f t="shared" si="1"/>
        <v>92</v>
      </c>
      <c r="C91" s="79">
        <v>0.182281</v>
      </c>
    </row>
    <row r="92" spans="2:3" x14ac:dyDescent="0.25">
      <c r="B92" s="80">
        <f t="shared" si="1"/>
        <v>93</v>
      </c>
      <c r="C92" s="79">
        <v>0.19839200000000001</v>
      </c>
    </row>
    <row r="93" spans="2:3" x14ac:dyDescent="0.25">
      <c r="B93" s="80">
        <f t="shared" si="1"/>
        <v>94</v>
      </c>
      <c r="C93" s="79">
        <v>0.2157</v>
      </c>
    </row>
    <row r="94" spans="2:3" x14ac:dyDescent="0.25">
      <c r="B94" s="80">
        <f t="shared" si="1"/>
        <v>95</v>
      </c>
      <c r="C94" s="79">
        <v>0.23360600000000001</v>
      </c>
    </row>
    <row r="95" spans="2:3" x14ac:dyDescent="0.25">
      <c r="B95" s="80">
        <f t="shared" si="1"/>
        <v>96</v>
      </c>
      <c r="C95" s="79">
        <v>0.25151000000000001</v>
      </c>
    </row>
    <row r="96" spans="2:3" x14ac:dyDescent="0.25">
      <c r="B96" s="80">
        <f t="shared" si="1"/>
        <v>97</v>
      </c>
      <c r="C96" s="79">
        <v>0.26881500000000003</v>
      </c>
    </row>
    <row r="97" spans="2:3" x14ac:dyDescent="0.25">
      <c r="B97" s="80">
        <f t="shared" si="1"/>
        <v>98</v>
      </c>
      <c r="C97" s="79">
        <v>0.285277</v>
      </c>
    </row>
    <row r="98" spans="2:3" x14ac:dyDescent="0.25">
      <c r="B98" s="80">
        <f t="shared" si="1"/>
        <v>99</v>
      </c>
      <c r="C98" s="79">
        <v>0.30129800000000001</v>
      </c>
    </row>
    <row r="99" spans="2:3" x14ac:dyDescent="0.25">
      <c r="B99" s="80">
        <f t="shared" si="1"/>
        <v>100</v>
      </c>
      <c r="C99" s="79">
        <v>0.31723800000000002</v>
      </c>
    </row>
    <row r="100" spans="2:3" x14ac:dyDescent="0.25">
      <c r="B100" s="80">
        <f t="shared" si="1"/>
        <v>101</v>
      </c>
      <c r="C100" s="79">
        <v>0.33346100000000001</v>
      </c>
    </row>
    <row r="101" spans="2:3" x14ac:dyDescent="0.25">
      <c r="B101" s="80">
        <f t="shared" si="1"/>
        <v>102</v>
      </c>
      <c r="C101" s="79">
        <v>0.35032999999999997</v>
      </c>
    </row>
    <row r="102" spans="2:3" x14ac:dyDescent="0.25">
      <c r="B102" s="80">
        <f t="shared" si="1"/>
        <v>103</v>
      </c>
      <c r="C102" s="79">
        <v>0.36854199999999998</v>
      </c>
    </row>
    <row r="103" spans="2:3" x14ac:dyDescent="0.25">
      <c r="B103" s="80">
        <f t="shared" si="1"/>
        <v>104</v>
      </c>
      <c r="C103" s="79">
        <v>0.38785500000000001</v>
      </c>
    </row>
    <row r="104" spans="2:3" x14ac:dyDescent="0.25">
      <c r="B104" s="80">
        <f t="shared" si="1"/>
        <v>105</v>
      </c>
      <c r="C104" s="79">
        <v>0.40722399999999997</v>
      </c>
    </row>
    <row r="105" spans="2:3" x14ac:dyDescent="0.25">
      <c r="B105" s="80">
        <f t="shared" si="1"/>
        <v>106</v>
      </c>
      <c r="C105" s="79">
        <v>0.42559900000000001</v>
      </c>
    </row>
    <row r="106" spans="2:3" x14ac:dyDescent="0.25">
      <c r="B106" s="80">
        <f t="shared" si="1"/>
        <v>107</v>
      </c>
      <c r="C106" s="79">
        <v>0.44193500000000002</v>
      </c>
    </row>
    <row r="107" spans="2:3" x14ac:dyDescent="0.25">
      <c r="B107" s="80">
        <f t="shared" si="1"/>
        <v>108</v>
      </c>
      <c r="C107" s="79">
        <v>0.45755299999999999</v>
      </c>
    </row>
    <row r="108" spans="2:3" x14ac:dyDescent="0.25">
      <c r="B108" s="80">
        <f t="shared" si="1"/>
        <v>109</v>
      </c>
      <c r="C108" s="79">
        <v>0.47315000000000002</v>
      </c>
    </row>
    <row r="109" spans="2:3" x14ac:dyDescent="0.25">
      <c r="B109" s="80">
        <f t="shared" si="1"/>
        <v>110</v>
      </c>
      <c r="C109" s="79">
        <v>0.48674499999999998</v>
      </c>
    </row>
    <row r="110" spans="2:3" x14ac:dyDescent="0.25">
      <c r="B110" s="80">
        <f t="shared" si="1"/>
        <v>111</v>
      </c>
      <c r="C110" s="79">
        <v>0.49635600000000002</v>
      </c>
    </row>
    <row r="111" spans="2:3" x14ac:dyDescent="0.25">
      <c r="B111" s="80">
        <f t="shared" si="1"/>
        <v>112</v>
      </c>
      <c r="C111" s="79">
        <v>0.5</v>
      </c>
    </row>
    <row r="112" spans="2:3" x14ac:dyDescent="0.25">
      <c r="B112" s="80">
        <f t="shared" si="1"/>
        <v>113</v>
      </c>
      <c r="C112" s="79">
        <v>0.5</v>
      </c>
    </row>
    <row r="113" spans="2:3" x14ac:dyDescent="0.25">
      <c r="B113" s="80">
        <f t="shared" si="1"/>
        <v>114</v>
      </c>
      <c r="C113" s="79">
        <v>0.5</v>
      </c>
    </row>
    <row r="114" spans="2:3" x14ac:dyDescent="0.25">
      <c r="B114" s="80">
        <f t="shared" si="1"/>
        <v>115</v>
      </c>
      <c r="C114" s="79">
        <v>0.5</v>
      </c>
    </row>
    <row r="115" spans="2:3" x14ac:dyDescent="0.25">
      <c r="B115" s="80">
        <f t="shared" si="1"/>
        <v>116</v>
      </c>
      <c r="C115" s="79">
        <v>0.5</v>
      </c>
    </row>
    <row r="116" spans="2:3" x14ac:dyDescent="0.25">
      <c r="B116" s="80">
        <f t="shared" si="1"/>
        <v>117</v>
      </c>
      <c r="C116" s="79">
        <v>0.5</v>
      </c>
    </row>
    <row r="117" spans="2:3" x14ac:dyDescent="0.25">
      <c r="B117" s="80">
        <f t="shared" si="1"/>
        <v>118</v>
      </c>
      <c r="C117" s="79">
        <v>0.5</v>
      </c>
    </row>
    <row r="118" spans="2:3" x14ac:dyDescent="0.25">
      <c r="B118" s="80">
        <f t="shared" si="1"/>
        <v>119</v>
      </c>
      <c r="C118" s="79">
        <v>0.5</v>
      </c>
    </row>
    <row r="119" spans="2:3" x14ac:dyDescent="0.25">
      <c r="B119" s="80">
        <f t="shared" si="1"/>
        <v>120</v>
      </c>
      <c r="C119" s="79">
        <v>1</v>
      </c>
    </row>
  </sheetData>
  <mergeCells count="1">
    <mergeCell ref="B2:C2"/>
  </mergeCells>
  <printOptions horizontalCentered="1"/>
  <pageMargins left="0.7" right="0.7" top="0.75" bottom="0.75" header="0.3" footer="0.3"/>
  <pageSetup scale="84" fitToHeight="3" orientation="landscape" r:id="rId1"/>
  <headerFooter>
    <oddFooter>&amp;L&amp;A
&amp;F&amp;R&amp;T
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4D3D6-28AD-40EA-BF15-FE959478A4C4}">
  <sheetPr>
    <pageSetUpPr fitToPage="1"/>
  </sheetPr>
  <dimension ref="B1:G29"/>
  <sheetViews>
    <sheetView showGridLines="0" workbookViewId="0">
      <selection activeCell="D30" sqref="D30"/>
    </sheetView>
  </sheetViews>
  <sheetFormatPr defaultRowHeight="15" x14ac:dyDescent="0.25"/>
  <cols>
    <col min="1" max="1" width="4.28515625" customWidth="1"/>
    <col min="2" max="2" width="13.5703125" customWidth="1"/>
    <col min="3" max="3" width="10.85546875" customWidth="1"/>
    <col min="4" max="4" width="21.7109375" customWidth="1"/>
    <col min="5" max="5" width="5.5703125" customWidth="1"/>
  </cols>
  <sheetData>
    <row r="1" spans="2:7" ht="15.75" thickBot="1" x14ac:dyDescent="0.3"/>
    <row r="2" spans="2:7" ht="19.5" customHeight="1" thickBot="1" x14ac:dyDescent="0.3">
      <c r="B2" s="133" t="s">
        <v>49</v>
      </c>
      <c r="C2" s="134"/>
      <c r="D2" s="137" t="s">
        <v>72</v>
      </c>
      <c r="F2" s="2"/>
      <c r="G2" s="2"/>
    </row>
    <row r="3" spans="2:7" ht="15.75" thickBot="1" x14ac:dyDescent="0.3">
      <c r="B3" s="103" t="s">
        <v>69</v>
      </c>
      <c r="C3" s="104" t="s">
        <v>70</v>
      </c>
      <c r="D3" s="138"/>
      <c r="F3" s="2"/>
      <c r="G3" s="2"/>
    </row>
    <row r="4" spans="2:7" ht="15.95" customHeight="1" x14ac:dyDescent="0.25">
      <c r="B4" s="102">
        <v>2012</v>
      </c>
      <c r="C4" s="105">
        <v>0.04</v>
      </c>
      <c r="D4" s="138"/>
      <c r="F4" s="2"/>
      <c r="G4" s="2"/>
    </row>
    <row r="5" spans="2:7" ht="15.95" customHeight="1" x14ac:dyDescent="0.25">
      <c r="B5" s="80">
        <v>2013</v>
      </c>
      <c r="C5" s="106">
        <v>7.4999999999999997E-2</v>
      </c>
      <c r="D5" s="138"/>
      <c r="F5" s="2"/>
      <c r="G5" s="2"/>
    </row>
    <row r="6" spans="2:7" ht="15.95" customHeight="1" x14ac:dyDescent="0.25">
      <c r="B6" s="80">
        <v>2014</v>
      </c>
      <c r="C6" s="106">
        <v>6.5000000000000002E-2</v>
      </c>
      <c r="D6" s="138"/>
      <c r="F6" s="2"/>
      <c r="G6" s="2"/>
    </row>
    <row r="7" spans="2:7" ht="15.95" customHeight="1" x14ac:dyDescent="0.25">
      <c r="B7" s="80">
        <v>2015</v>
      </c>
      <c r="C7" s="106">
        <v>7.2499999999999995E-2</v>
      </c>
      <c r="D7" s="138"/>
      <c r="F7" s="2"/>
      <c r="G7" s="2"/>
    </row>
    <row r="8" spans="2:7" ht="15.95" customHeight="1" x14ac:dyDescent="0.25">
      <c r="B8" s="80">
        <v>2016</v>
      </c>
      <c r="C8" s="106">
        <v>6.5000000000000002E-2</v>
      </c>
      <c r="D8" s="138"/>
      <c r="F8" s="2"/>
      <c r="G8" s="2"/>
    </row>
    <row r="9" spans="2:7" ht="15.95" customHeight="1" x14ac:dyDescent="0.25">
      <c r="B9" s="80">
        <v>2017</v>
      </c>
      <c r="C9" s="106">
        <v>0.04</v>
      </c>
      <c r="D9" s="138"/>
      <c r="F9" s="2"/>
      <c r="G9" s="2"/>
    </row>
    <row r="10" spans="2:7" ht="15.95" customHeight="1" x14ac:dyDescent="0.25">
      <c r="B10" s="80">
        <v>2018</v>
      </c>
      <c r="C10" s="107">
        <v>4.4999999999999998E-2</v>
      </c>
      <c r="D10" s="139" t="s">
        <v>73</v>
      </c>
      <c r="F10" s="2"/>
      <c r="G10" s="2"/>
    </row>
    <row r="11" spans="2:7" ht="15.95" customHeight="1" x14ac:dyDescent="0.25">
      <c r="B11" s="80">
        <v>2019</v>
      </c>
      <c r="C11" s="107">
        <v>0.04</v>
      </c>
      <c r="D11" s="140"/>
    </row>
    <row r="12" spans="2:7" ht="15.95" customHeight="1" x14ac:dyDescent="0.25">
      <c r="B12" s="80">
        <v>2020</v>
      </c>
      <c r="C12" s="107"/>
      <c r="D12" s="140"/>
    </row>
    <row r="13" spans="2:7" ht="15.95" customHeight="1" x14ac:dyDescent="0.25">
      <c r="B13" s="80">
        <v>2021</v>
      </c>
      <c r="C13" s="107"/>
      <c r="D13" s="140"/>
    </row>
    <row r="14" spans="2:7" ht="15.95" customHeight="1" x14ac:dyDescent="0.25">
      <c r="B14" s="80">
        <v>2022</v>
      </c>
      <c r="C14" s="107"/>
      <c r="D14" s="140"/>
    </row>
    <row r="15" spans="2:7" ht="15.95" customHeight="1" x14ac:dyDescent="0.25">
      <c r="B15" s="80">
        <v>2023</v>
      </c>
      <c r="C15" s="107"/>
      <c r="D15" s="140"/>
    </row>
    <row r="16" spans="2:7" ht="15.95" customHeight="1" x14ac:dyDescent="0.25">
      <c r="B16" s="80">
        <v>2024</v>
      </c>
      <c r="C16" s="107"/>
      <c r="D16" s="140"/>
    </row>
    <row r="17" spans="2:4" ht="15.95" customHeight="1" x14ac:dyDescent="0.25">
      <c r="B17" s="80">
        <v>2025</v>
      </c>
      <c r="C17" s="107"/>
      <c r="D17" s="140"/>
    </row>
    <row r="18" spans="2:4" ht="15.95" customHeight="1" x14ac:dyDescent="0.25">
      <c r="B18" s="80">
        <v>2026</v>
      </c>
      <c r="C18" s="107"/>
      <c r="D18" s="140"/>
    </row>
    <row r="19" spans="2:4" ht="15.95" customHeight="1" x14ac:dyDescent="0.25">
      <c r="B19" s="80">
        <v>2027</v>
      </c>
      <c r="C19" s="107"/>
      <c r="D19" s="140"/>
    </row>
    <row r="20" spans="2:4" ht="15.95" customHeight="1" x14ac:dyDescent="0.25">
      <c r="B20" s="80">
        <v>2028</v>
      </c>
      <c r="C20" s="107"/>
      <c r="D20" s="140"/>
    </row>
    <row r="21" spans="2:4" ht="15.95" customHeight="1" x14ac:dyDescent="0.25">
      <c r="B21" s="80">
        <v>2029</v>
      </c>
      <c r="C21" s="107"/>
      <c r="D21" s="140"/>
    </row>
    <row r="22" spans="2:4" ht="15.95" customHeight="1" x14ac:dyDescent="0.25">
      <c r="B22" s="80">
        <v>2030</v>
      </c>
      <c r="C22" s="107"/>
      <c r="D22" s="140"/>
    </row>
    <row r="23" spans="2:4" ht="15.95" customHeight="1" x14ac:dyDescent="0.25">
      <c r="B23" s="80">
        <v>2031</v>
      </c>
      <c r="C23" s="107"/>
      <c r="D23" s="140"/>
    </row>
    <row r="24" spans="2:4" ht="15.95" customHeight="1" thickBot="1" x14ac:dyDescent="0.3">
      <c r="B24" s="80">
        <v>2032</v>
      </c>
      <c r="C24" s="107"/>
      <c r="D24" s="141"/>
    </row>
    <row r="25" spans="2:4" ht="15.75" thickBot="1" x14ac:dyDescent="0.3">
      <c r="B25" s="108"/>
    </row>
    <row r="26" spans="2:4" ht="20.25" thickTop="1" thickBot="1" x14ac:dyDescent="0.35">
      <c r="B26" s="135" t="s">
        <v>71</v>
      </c>
      <c r="C26" s="136"/>
      <c r="D26" s="16"/>
    </row>
    <row r="27" spans="2:4" ht="16.5" thickTop="1" thickBot="1" x14ac:dyDescent="0.3">
      <c r="B27" s="111" t="s">
        <v>50</v>
      </c>
      <c r="C27" s="110" t="s">
        <v>70</v>
      </c>
      <c r="D27" s="16"/>
    </row>
    <row r="28" spans="2:4" ht="17.25" thickTop="1" thickBot="1" x14ac:dyDescent="0.3">
      <c r="B28" s="112">
        <v>2019</v>
      </c>
      <c r="C28" s="113">
        <f>VLOOKUP(B28,B4:C24,2)</f>
        <v>0.04</v>
      </c>
      <c r="D28" s="16"/>
    </row>
    <row r="29" spans="2:4" ht="15.75" thickTop="1" x14ac:dyDescent="0.25">
      <c r="B29" s="109"/>
      <c r="C29" s="109"/>
    </row>
  </sheetData>
  <mergeCells count="4">
    <mergeCell ref="B2:C2"/>
    <mergeCell ref="B26:C26"/>
    <mergeCell ref="D2:D9"/>
    <mergeCell ref="D10:D24"/>
  </mergeCells>
  <printOptions horizontalCentered="1"/>
  <pageMargins left="0.7" right="0.7" top="0.75" bottom="0.75" header="0.3" footer="0.3"/>
  <pageSetup scale="63" orientation="landscape" r:id="rId1"/>
  <headerFooter>
    <oddFooter>&amp;L&amp;A
&amp;F&amp;R&amp;T
&amp;D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B9FCA-1557-431E-86E4-5CBB9B634D3F}">
  <sheetPr>
    <pageSetUpPr fitToPage="1"/>
  </sheetPr>
  <dimension ref="B1:G133"/>
  <sheetViews>
    <sheetView showGridLines="0" workbookViewId="0">
      <pane ySplit="12" topLeftCell="A13" activePane="bottomLeft" state="frozen"/>
      <selection activeCell="F38" sqref="F38"/>
      <selection pane="bottomLeft" activeCell="L20" sqref="L20"/>
    </sheetView>
  </sheetViews>
  <sheetFormatPr defaultRowHeight="15" x14ac:dyDescent="0.25"/>
  <cols>
    <col min="1" max="1" width="6" customWidth="1"/>
    <col min="2" max="2" width="9.140625" style="2"/>
    <col min="6" max="6" width="17.85546875" customWidth="1"/>
    <col min="7" max="7" width="14.140625" bestFit="1" customWidth="1"/>
    <col min="8" max="8" width="7.85546875" customWidth="1"/>
    <col min="9" max="9" width="9.5703125" bestFit="1" customWidth="1"/>
  </cols>
  <sheetData>
    <row r="1" spans="2:7" ht="15.75" thickBot="1" x14ac:dyDescent="0.3"/>
    <row r="2" spans="2:7" ht="19.5" thickBot="1" x14ac:dyDescent="0.35">
      <c r="B2" s="142" t="s">
        <v>46</v>
      </c>
      <c r="C2" s="143"/>
      <c r="D2" s="143"/>
      <c r="E2" s="143"/>
      <c r="F2" s="143"/>
      <c r="G2" s="144"/>
    </row>
    <row r="3" spans="2:7" x14ac:dyDescent="0.25">
      <c r="B3" s="83" t="s">
        <v>47</v>
      </c>
      <c r="G3" s="116">
        <f>Statement!E12</f>
        <v>46</v>
      </c>
    </row>
    <row r="4" spans="2:7" x14ac:dyDescent="0.25">
      <c r="B4" s="83" t="s">
        <v>48</v>
      </c>
      <c r="G4" s="81">
        <f>Statement!E16</f>
        <v>4540.8</v>
      </c>
    </row>
    <row r="5" spans="2:7" x14ac:dyDescent="0.25">
      <c r="B5" s="83" t="s">
        <v>49</v>
      </c>
      <c r="G5" s="120">
        <f>Rate!C28</f>
        <v>0.04</v>
      </c>
    </row>
    <row r="6" spans="2:7" x14ac:dyDescent="0.25">
      <c r="B6" s="83"/>
    </row>
    <row r="7" spans="2:7" x14ac:dyDescent="0.25">
      <c r="B7" s="83" t="s">
        <v>50</v>
      </c>
      <c r="G7" s="118">
        <f>Rate!B28</f>
        <v>2019</v>
      </c>
    </row>
    <row r="8" spans="2:7" x14ac:dyDescent="0.25">
      <c r="B8" s="83" t="s">
        <v>51</v>
      </c>
      <c r="G8" s="119">
        <f>SUM(G13:G87)</f>
        <v>18.683499999999995</v>
      </c>
    </row>
    <row r="9" spans="2:7" x14ac:dyDescent="0.25">
      <c r="B9" s="83" t="s">
        <v>52</v>
      </c>
      <c r="G9" s="53">
        <f>G8*G4</f>
        <v>84838.036799999987</v>
      </c>
    </row>
    <row r="10" spans="2:7" ht="15.75" thickBot="1" x14ac:dyDescent="0.3"/>
    <row r="11" spans="2:7" ht="16.5" thickBot="1" x14ac:dyDescent="0.3">
      <c r="B11" s="145" t="s">
        <v>57</v>
      </c>
      <c r="C11" s="146"/>
      <c r="D11" s="146"/>
      <c r="E11" s="146"/>
      <c r="F11" s="146"/>
      <c r="G11" s="147"/>
    </row>
    <row r="12" spans="2:7" x14ac:dyDescent="0.25">
      <c r="B12" s="82" t="s">
        <v>18</v>
      </c>
      <c r="C12" s="82" t="s">
        <v>53</v>
      </c>
      <c r="D12" s="82" t="s">
        <v>54</v>
      </c>
      <c r="E12" s="82" t="s">
        <v>55</v>
      </c>
      <c r="F12" s="82"/>
      <c r="G12" s="82" t="s">
        <v>56</v>
      </c>
    </row>
    <row r="13" spans="2:7" x14ac:dyDescent="0.25">
      <c r="B13" s="117">
        <f>$G$3</f>
        <v>46</v>
      </c>
      <c r="C13" s="122">
        <f>IF(B13="","",VLOOKUP(B13,Qx!$B$4:$C$119,2))</f>
        <v>1.722E-3</v>
      </c>
      <c r="D13" s="122">
        <f>IF(B14="","", ROUND(1-C13,6))</f>
        <v>0.998278</v>
      </c>
      <c r="E13" s="122">
        <f>C13+D13</f>
        <v>1</v>
      </c>
      <c r="G13" s="121">
        <f t="shared" ref="G13:G76" si="0">IF(B13="","",ROUND((E13/(1+$G$5)^(B13-$B$13)),4))</f>
        <v>1</v>
      </c>
    </row>
    <row r="14" spans="2:7" x14ac:dyDescent="0.25">
      <c r="B14" s="2">
        <f t="shared" ref="B14:B77" si="1">IF((OR(B13=120, B13="")),"", B13+1)</f>
        <v>47</v>
      </c>
      <c r="C14" s="122">
        <f>IF(B14="","",VLOOKUP(B14,Qx!$B$4:$C$119,2))</f>
        <v>1.8990000000000001E-3</v>
      </c>
      <c r="D14" s="122">
        <f t="shared" ref="D14:D77" si="2">IF(B15="","", ROUND(1-C14,6))</f>
        <v>0.99810100000000002</v>
      </c>
      <c r="E14" s="122">
        <f>IF(B14="","",ROUND((D13*E13),6))</f>
        <v>0.998278</v>
      </c>
      <c r="G14" s="121">
        <f t="shared" si="0"/>
        <v>0.95989999999999998</v>
      </c>
    </row>
    <row r="15" spans="2:7" x14ac:dyDescent="0.25">
      <c r="B15" s="2">
        <f t="shared" si="1"/>
        <v>48</v>
      </c>
      <c r="C15" s="122">
        <f>IF(B15="","",VLOOKUP(B15,Qx!$B$4:$C$119,2))</f>
        <v>2.1020000000000001E-3</v>
      </c>
      <c r="D15" s="122">
        <f t="shared" si="2"/>
        <v>0.99789799999999995</v>
      </c>
      <c r="E15" s="122">
        <f t="shared" ref="E15:E78" si="3">IF(B15="","",ROUND((D14*E14),6))</f>
        <v>0.99638199999999999</v>
      </c>
      <c r="G15" s="121">
        <f t="shared" si="0"/>
        <v>0.92120000000000002</v>
      </c>
    </row>
    <row r="16" spans="2:7" x14ac:dyDescent="0.25">
      <c r="B16" s="2">
        <f t="shared" si="1"/>
        <v>49</v>
      </c>
      <c r="C16" s="122">
        <f>IF(B16="","",VLOOKUP(B16,Qx!$B$4:$C$119,2))</f>
        <v>2.3259999999999999E-3</v>
      </c>
      <c r="D16" s="122">
        <f t="shared" si="2"/>
        <v>0.99767399999999995</v>
      </c>
      <c r="E16" s="122">
        <f t="shared" si="3"/>
        <v>0.99428799999999995</v>
      </c>
      <c r="G16" s="121">
        <f t="shared" si="0"/>
        <v>0.88390000000000002</v>
      </c>
    </row>
    <row r="17" spans="2:7" x14ac:dyDescent="0.25">
      <c r="B17" s="2">
        <f t="shared" si="1"/>
        <v>50</v>
      </c>
      <c r="C17" s="122">
        <f>IF(B17="","",VLOOKUP(B17,Qx!$B$4:$C$119,2))</f>
        <v>2.5790000000000001E-3</v>
      </c>
      <c r="D17" s="122">
        <f t="shared" si="2"/>
        <v>0.997421</v>
      </c>
      <c r="E17" s="122">
        <f t="shared" si="3"/>
        <v>0.99197500000000005</v>
      </c>
      <c r="G17" s="121">
        <f t="shared" si="0"/>
        <v>0.84789999999999999</v>
      </c>
    </row>
    <row r="18" spans="2:7" x14ac:dyDescent="0.25">
      <c r="B18" s="2">
        <f t="shared" si="1"/>
        <v>51</v>
      </c>
      <c r="C18" s="122">
        <f>IF(B18="","",VLOOKUP(B18,Qx!$B$4:$C$119,2))</f>
        <v>2.872E-3</v>
      </c>
      <c r="D18" s="122">
        <f t="shared" si="2"/>
        <v>0.99712800000000001</v>
      </c>
      <c r="E18" s="122">
        <f t="shared" si="3"/>
        <v>0.98941699999999999</v>
      </c>
      <c r="G18" s="121">
        <f t="shared" si="0"/>
        <v>0.81320000000000003</v>
      </c>
    </row>
    <row r="19" spans="2:7" x14ac:dyDescent="0.25">
      <c r="B19" s="2">
        <f t="shared" si="1"/>
        <v>52</v>
      </c>
      <c r="C19" s="122">
        <f>IF(B19="","",VLOOKUP(B19,Qx!$B$4:$C$119,2))</f>
        <v>3.2130000000000001E-3</v>
      </c>
      <c r="D19" s="122">
        <f t="shared" si="2"/>
        <v>0.99678699999999998</v>
      </c>
      <c r="E19" s="122">
        <f t="shared" si="3"/>
        <v>0.98657499999999998</v>
      </c>
      <c r="G19" s="121">
        <f t="shared" si="0"/>
        <v>0.77969999999999995</v>
      </c>
    </row>
    <row r="20" spans="2:7" x14ac:dyDescent="0.25">
      <c r="B20" s="2">
        <f t="shared" si="1"/>
        <v>53</v>
      </c>
      <c r="C20" s="122">
        <f>IF(B20="","",VLOOKUP(B20,Qx!$B$4:$C$119,2))</f>
        <v>3.5839999999999999E-3</v>
      </c>
      <c r="D20" s="122">
        <f t="shared" si="2"/>
        <v>0.99641599999999997</v>
      </c>
      <c r="E20" s="122">
        <f t="shared" si="3"/>
        <v>0.98340499999999997</v>
      </c>
      <c r="G20" s="121">
        <f t="shared" si="0"/>
        <v>0.74729999999999996</v>
      </c>
    </row>
    <row r="21" spans="2:7" x14ac:dyDescent="0.25">
      <c r="B21" s="2">
        <f t="shared" si="1"/>
        <v>54</v>
      </c>
      <c r="C21" s="122">
        <f>IF(B21="","",VLOOKUP(B21,Qx!$B$4:$C$119,2))</f>
        <v>3.9789999999999999E-3</v>
      </c>
      <c r="D21" s="122">
        <f t="shared" si="2"/>
        <v>0.99602100000000005</v>
      </c>
      <c r="E21" s="122">
        <f t="shared" si="3"/>
        <v>0.97987999999999997</v>
      </c>
      <c r="G21" s="121">
        <f t="shared" si="0"/>
        <v>0.71599999999999997</v>
      </c>
    </row>
    <row r="22" spans="2:7" x14ac:dyDescent="0.25">
      <c r="B22" s="2">
        <f t="shared" si="1"/>
        <v>55</v>
      </c>
      <c r="C22" s="122">
        <f>IF(B22="","",VLOOKUP(B22,Qx!$B$4:$C$119,2))</f>
        <v>4.4250000000000001E-3</v>
      </c>
      <c r="D22" s="122">
        <f t="shared" si="2"/>
        <v>0.99557499999999999</v>
      </c>
      <c r="E22" s="122">
        <f t="shared" si="3"/>
        <v>0.97598099999999999</v>
      </c>
      <c r="G22" s="121">
        <f t="shared" si="0"/>
        <v>0.68569999999999998</v>
      </c>
    </row>
    <row r="23" spans="2:7" x14ac:dyDescent="0.25">
      <c r="B23" s="2">
        <f t="shared" si="1"/>
        <v>56</v>
      </c>
      <c r="C23" s="122">
        <f>IF(B23="","",VLOOKUP(B23,Qx!$B$4:$C$119,2))</f>
        <v>4.9490000000000003E-3</v>
      </c>
      <c r="D23" s="122">
        <f t="shared" si="2"/>
        <v>0.99505100000000002</v>
      </c>
      <c r="E23" s="122">
        <f t="shared" si="3"/>
        <v>0.97166200000000003</v>
      </c>
      <c r="G23" s="121">
        <f t="shared" si="0"/>
        <v>0.65639999999999998</v>
      </c>
    </row>
    <row r="24" spans="2:7" x14ac:dyDescent="0.25">
      <c r="B24" s="2">
        <f t="shared" si="1"/>
        <v>57</v>
      </c>
      <c r="C24" s="122">
        <f>IF(B24="","",VLOOKUP(B24,Qx!$B$4:$C$119,2))</f>
        <v>5.581E-3</v>
      </c>
      <c r="D24" s="122">
        <f t="shared" si="2"/>
        <v>0.99441900000000005</v>
      </c>
      <c r="E24" s="122">
        <f t="shared" si="3"/>
        <v>0.96685299999999996</v>
      </c>
      <c r="G24" s="121">
        <f t="shared" si="0"/>
        <v>0.628</v>
      </c>
    </row>
    <row r="25" spans="2:7" x14ac:dyDescent="0.25">
      <c r="B25" s="2">
        <f t="shared" si="1"/>
        <v>58</v>
      </c>
      <c r="C25" s="122">
        <f>IF(B25="","",VLOOKUP(B25,Qx!$B$4:$C$119,2))</f>
        <v>6.3E-3</v>
      </c>
      <c r="D25" s="122">
        <f t="shared" si="2"/>
        <v>0.99370000000000003</v>
      </c>
      <c r="E25" s="122">
        <f t="shared" si="3"/>
        <v>0.96145700000000001</v>
      </c>
      <c r="G25" s="121">
        <f t="shared" si="0"/>
        <v>0.60050000000000003</v>
      </c>
    </row>
    <row r="26" spans="2:7" x14ac:dyDescent="0.25">
      <c r="B26" s="2">
        <f t="shared" si="1"/>
        <v>59</v>
      </c>
      <c r="C26" s="122">
        <f>IF(B26="","",VLOOKUP(B26,Qx!$B$4:$C$119,2))</f>
        <v>7.0899999999999999E-3</v>
      </c>
      <c r="D26" s="122">
        <f t="shared" si="2"/>
        <v>0.99290999999999996</v>
      </c>
      <c r="E26" s="122">
        <f t="shared" si="3"/>
        <v>0.95540000000000003</v>
      </c>
      <c r="G26" s="121">
        <f t="shared" si="0"/>
        <v>0.57379999999999998</v>
      </c>
    </row>
    <row r="27" spans="2:7" x14ac:dyDescent="0.25">
      <c r="B27" s="2">
        <f t="shared" si="1"/>
        <v>60</v>
      </c>
      <c r="C27" s="122">
        <f>IF(B27="","",VLOOKUP(B27,Qx!$B$4:$C$119,2))</f>
        <v>7.9760000000000005E-3</v>
      </c>
      <c r="D27" s="122">
        <f t="shared" si="2"/>
        <v>0.99202400000000002</v>
      </c>
      <c r="E27" s="122">
        <f t="shared" si="3"/>
        <v>0.94862599999999997</v>
      </c>
      <c r="G27" s="121">
        <f t="shared" si="0"/>
        <v>0.54779999999999995</v>
      </c>
    </row>
    <row r="28" spans="2:7" x14ac:dyDescent="0.25">
      <c r="B28" s="2">
        <f t="shared" si="1"/>
        <v>61</v>
      </c>
      <c r="C28" s="122">
        <f>IF(B28="","",VLOOKUP(B28,Qx!$B$4:$C$119,2))</f>
        <v>8.9859999999999992E-3</v>
      </c>
      <c r="D28" s="122">
        <f t="shared" si="2"/>
        <v>0.99101399999999995</v>
      </c>
      <c r="E28" s="122">
        <f t="shared" si="3"/>
        <v>0.94106000000000001</v>
      </c>
      <c r="G28" s="121">
        <f t="shared" si="0"/>
        <v>0.52249999999999996</v>
      </c>
    </row>
    <row r="29" spans="2:7" x14ac:dyDescent="0.25">
      <c r="B29" s="2">
        <f t="shared" si="1"/>
        <v>62</v>
      </c>
      <c r="C29" s="122">
        <f>IF(B29="","",VLOOKUP(B29,Qx!$B$4:$C$119,2))</f>
        <v>1.0147E-2</v>
      </c>
      <c r="D29" s="122">
        <f t="shared" si="2"/>
        <v>0.98985299999999998</v>
      </c>
      <c r="E29" s="122">
        <f t="shared" si="3"/>
        <v>0.93260399999999999</v>
      </c>
      <c r="G29" s="121">
        <f t="shared" si="0"/>
        <v>0.49790000000000001</v>
      </c>
    </row>
    <row r="30" spans="2:7" x14ac:dyDescent="0.25">
      <c r="B30" s="2">
        <f t="shared" si="1"/>
        <v>63</v>
      </c>
      <c r="C30" s="122">
        <f>IF(B30="","",VLOOKUP(B30,Qx!$B$4:$C$119,2))</f>
        <v>1.1471E-2</v>
      </c>
      <c r="D30" s="122">
        <f t="shared" si="2"/>
        <v>0.98852899999999999</v>
      </c>
      <c r="E30" s="122">
        <f t="shared" si="3"/>
        <v>0.92314099999999999</v>
      </c>
      <c r="G30" s="121">
        <f t="shared" si="0"/>
        <v>0.47389999999999999</v>
      </c>
    </row>
    <row r="31" spans="2:7" x14ac:dyDescent="0.25">
      <c r="B31" s="2">
        <f t="shared" si="1"/>
        <v>64</v>
      </c>
      <c r="C31" s="122">
        <f>IF(B31="","",VLOOKUP(B31,Qx!$B$4:$C$119,2))</f>
        <v>1.294E-2</v>
      </c>
      <c r="D31" s="122">
        <f t="shared" si="2"/>
        <v>0.98706000000000005</v>
      </c>
      <c r="E31" s="122">
        <f t="shared" si="3"/>
        <v>0.91255200000000003</v>
      </c>
      <c r="G31" s="121">
        <f t="shared" si="0"/>
        <v>0.45050000000000001</v>
      </c>
    </row>
    <row r="32" spans="2:7" x14ac:dyDescent="0.25">
      <c r="B32" s="2">
        <f t="shared" si="1"/>
        <v>65</v>
      </c>
      <c r="C32" s="122">
        <f>IF(B32="","",VLOOKUP(B32,Qx!$B$4:$C$119,2))</f>
        <v>1.4534999999999999E-2</v>
      </c>
      <c r="D32" s="122">
        <f t="shared" si="2"/>
        <v>0.98546500000000004</v>
      </c>
      <c r="E32" s="122">
        <f t="shared" si="3"/>
        <v>0.90074399999999999</v>
      </c>
      <c r="G32" s="121">
        <f t="shared" si="0"/>
        <v>0.42749999999999999</v>
      </c>
    </row>
    <row r="33" spans="2:7" x14ac:dyDescent="0.25">
      <c r="B33" s="2">
        <f t="shared" si="1"/>
        <v>66</v>
      </c>
      <c r="C33" s="122">
        <f>IF(B33="","",VLOOKUP(B33,Qx!$B$4:$C$119,2))</f>
        <v>1.6239E-2</v>
      </c>
      <c r="D33" s="122">
        <f t="shared" si="2"/>
        <v>0.983761</v>
      </c>
      <c r="E33" s="122">
        <f t="shared" si="3"/>
        <v>0.887652</v>
      </c>
      <c r="G33" s="121">
        <f t="shared" si="0"/>
        <v>0.40510000000000002</v>
      </c>
    </row>
    <row r="34" spans="2:7" x14ac:dyDescent="0.25">
      <c r="B34" s="2">
        <f t="shared" si="1"/>
        <v>67</v>
      </c>
      <c r="C34" s="122">
        <f>IF(B34="","",VLOOKUP(B34,Qx!$B$4:$C$119,2))</f>
        <v>1.8034000000000001E-2</v>
      </c>
      <c r="D34" s="122">
        <f t="shared" si="2"/>
        <v>0.98196600000000001</v>
      </c>
      <c r="E34" s="122">
        <f t="shared" si="3"/>
        <v>0.87323700000000004</v>
      </c>
      <c r="G34" s="121">
        <f t="shared" si="0"/>
        <v>0.38319999999999999</v>
      </c>
    </row>
    <row r="35" spans="2:7" x14ac:dyDescent="0.25">
      <c r="B35" s="2">
        <f t="shared" si="1"/>
        <v>68</v>
      </c>
      <c r="C35" s="122">
        <f>IF(B35="","",VLOOKUP(B35,Qx!$B$4:$C$119,2))</f>
        <v>1.9859000000000002E-2</v>
      </c>
      <c r="D35" s="122">
        <f t="shared" si="2"/>
        <v>0.98014100000000004</v>
      </c>
      <c r="E35" s="122">
        <f t="shared" si="3"/>
        <v>0.85748899999999995</v>
      </c>
      <c r="G35" s="121">
        <f t="shared" si="0"/>
        <v>0.36180000000000001</v>
      </c>
    </row>
    <row r="36" spans="2:7" x14ac:dyDescent="0.25">
      <c r="B36" s="2">
        <f t="shared" si="1"/>
        <v>69</v>
      </c>
      <c r="C36" s="122">
        <f>IF(B36="","",VLOOKUP(B36,Qx!$B$4:$C$119,2))</f>
        <v>2.1728999999999998E-2</v>
      </c>
      <c r="D36" s="122">
        <f t="shared" si="2"/>
        <v>0.978271</v>
      </c>
      <c r="E36" s="122">
        <f t="shared" si="3"/>
        <v>0.84045999999999998</v>
      </c>
      <c r="G36" s="121">
        <f t="shared" si="0"/>
        <v>0.34100000000000003</v>
      </c>
    </row>
    <row r="37" spans="2:7" x14ac:dyDescent="0.25">
      <c r="B37" s="2">
        <f t="shared" si="1"/>
        <v>70</v>
      </c>
      <c r="C37" s="122">
        <f>IF(B37="","",VLOOKUP(B37,Qx!$B$4:$C$119,2))</f>
        <v>2.3730000000000001E-2</v>
      </c>
      <c r="D37" s="122">
        <f t="shared" si="2"/>
        <v>0.97626999999999997</v>
      </c>
      <c r="E37" s="122">
        <f t="shared" si="3"/>
        <v>0.82219799999999998</v>
      </c>
      <c r="G37" s="121">
        <f t="shared" si="0"/>
        <v>0.32079999999999997</v>
      </c>
    </row>
    <row r="38" spans="2:7" x14ac:dyDescent="0.25">
      <c r="B38" s="2">
        <f t="shared" si="1"/>
        <v>71</v>
      </c>
      <c r="C38" s="122">
        <f>IF(B38="","",VLOOKUP(B38,Qx!$B$4:$C$119,2))</f>
        <v>2.5950999999999998E-2</v>
      </c>
      <c r="D38" s="122">
        <f t="shared" si="2"/>
        <v>0.97404900000000005</v>
      </c>
      <c r="E38" s="122">
        <f t="shared" si="3"/>
        <v>0.80268700000000004</v>
      </c>
      <c r="G38" s="121">
        <f t="shared" si="0"/>
        <v>0.30109999999999998</v>
      </c>
    </row>
    <row r="39" spans="2:7" x14ac:dyDescent="0.25">
      <c r="B39" s="2">
        <f t="shared" si="1"/>
        <v>72</v>
      </c>
      <c r="C39" s="122">
        <f>IF(B39="","",VLOOKUP(B39,Qx!$B$4:$C$119,2))</f>
        <v>2.8480999999999999E-2</v>
      </c>
      <c r="D39" s="122">
        <f t="shared" si="2"/>
        <v>0.97151900000000002</v>
      </c>
      <c r="E39" s="122">
        <f t="shared" si="3"/>
        <v>0.781856</v>
      </c>
      <c r="G39" s="121">
        <f t="shared" si="0"/>
        <v>0.28199999999999997</v>
      </c>
    </row>
    <row r="40" spans="2:7" x14ac:dyDescent="0.25">
      <c r="B40" s="2">
        <f t="shared" si="1"/>
        <v>73</v>
      </c>
      <c r="C40" s="122">
        <f>IF(B40="","",VLOOKUP(B40,Qx!$B$4:$C$119,2))</f>
        <v>3.1201E-2</v>
      </c>
      <c r="D40" s="122">
        <f t="shared" si="2"/>
        <v>0.96879899999999997</v>
      </c>
      <c r="E40" s="122">
        <f t="shared" si="3"/>
        <v>0.75958800000000004</v>
      </c>
      <c r="G40" s="121">
        <f t="shared" si="0"/>
        <v>0.26340000000000002</v>
      </c>
    </row>
    <row r="41" spans="2:7" x14ac:dyDescent="0.25">
      <c r="B41" s="2">
        <f t="shared" si="1"/>
        <v>74</v>
      </c>
      <c r="C41" s="122">
        <f>IF(B41="","",VLOOKUP(B41,Qx!$B$4:$C$119,2))</f>
        <v>3.4050999999999998E-2</v>
      </c>
      <c r="D41" s="122">
        <f t="shared" si="2"/>
        <v>0.96594899999999995</v>
      </c>
      <c r="E41" s="122">
        <f t="shared" si="3"/>
        <v>0.73588799999999999</v>
      </c>
      <c r="G41" s="121">
        <f t="shared" si="0"/>
        <v>0.24540000000000001</v>
      </c>
    </row>
    <row r="42" spans="2:7" x14ac:dyDescent="0.25">
      <c r="B42" s="2">
        <f t="shared" si="1"/>
        <v>75</v>
      </c>
      <c r="C42" s="122">
        <f>IF(B42="","",VLOOKUP(B42,Qx!$B$4:$C$119,2))</f>
        <v>3.7211000000000001E-2</v>
      </c>
      <c r="D42" s="122">
        <f t="shared" si="2"/>
        <v>0.96278900000000001</v>
      </c>
      <c r="E42" s="122">
        <f t="shared" si="3"/>
        <v>0.71082999999999996</v>
      </c>
      <c r="G42" s="121">
        <f t="shared" si="0"/>
        <v>0.22789999999999999</v>
      </c>
    </row>
    <row r="43" spans="2:7" x14ac:dyDescent="0.25">
      <c r="B43" s="2">
        <f t="shared" si="1"/>
        <v>76</v>
      </c>
      <c r="C43" s="122">
        <f>IF(B43="","",VLOOKUP(B43,Qx!$B$4:$C$119,2))</f>
        <v>4.0857999999999998E-2</v>
      </c>
      <c r="D43" s="122">
        <f t="shared" si="2"/>
        <v>0.95914200000000005</v>
      </c>
      <c r="E43" s="122">
        <f t="shared" si="3"/>
        <v>0.68437899999999996</v>
      </c>
      <c r="G43" s="121">
        <f t="shared" si="0"/>
        <v>0.21099999999999999</v>
      </c>
    </row>
    <row r="44" spans="2:7" x14ac:dyDescent="0.25">
      <c r="B44" s="2">
        <f t="shared" si="1"/>
        <v>77</v>
      </c>
      <c r="C44" s="122">
        <f>IF(B44="","",VLOOKUP(B44,Qx!$B$4:$C$119,2))</f>
        <v>4.5171000000000003E-2</v>
      </c>
      <c r="D44" s="122">
        <f t="shared" si="2"/>
        <v>0.95482900000000004</v>
      </c>
      <c r="E44" s="122">
        <f t="shared" si="3"/>
        <v>0.65641700000000003</v>
      </c>
      <c r="G44" s="121">
        <f t="shared" si="0"/>
        <v>0.1946</v>
      </c>
    </row>
    <row r="45" spans="2:7" x14ac:dyDescent="0.25">
      <c r="B45" s="2">
        <f t="shared" si="1"/>
        <v>78</v>
      </c>
      <c r="C45" s="122">
        <f>IF(B45="","",VLOOKUP(B45,Qx!$B$4:$C$119,2))</f>
        <v>5.0210999999999999E-2</v>
      </c>
      <c r="D45" s="122">
        <f t="shared" si="2"/>
        <v>0.94978899999999999</v>
      </c>
      <c r="E45" s="122">
        <f t="shared" si="3"/>
        <v>0.62676600000000005</v>
      </c>
      <c r="G45" s="121">
        <f t="shared" si="0"/>
        <v>0.1787</v>
      </c>
    </row>
    <row r="46" spans="2:7" x14ac:dyDescent="0.25">
      <c r="B46" s="2">
        <f t="shared" si="1"/>
        <v>79</v>
      </c>
      <c r="C46" s="122">
        <f>IF(B46="","",VLOOKUP(B46,Qx!$B$4:$C$119,2))</f>
        <v>5.5861000000000001E-2</v>
      </c>
      <c r="D46" s="122">
        <f t="shared" si="2"/>
        <v>0.94413899999999995</v>
      </c>
      <c r="E46" s="122">
        <f t="shared" si="3"/>
        <v>0.59529500000000002</v>
      </c>
      <c r="G46" s="121">
        <f t="shared" si="0"/>
        <v>0.16320000000000001</v>
      </c>
    </row>
    <row r="47" spans="2:7" x14ac:dyDescent="0.25">
      <c r="B47" s="2">
        <f t="shared" si="1"/>
        <v>80</v>
      </c>
      <c r="C47" s="122">
        <f>IF(B47="","",VLOOKUP(B47,Qx!$B$4:$C$119,2))</f>
        <v>6.2026999999999999E-2</v>
      </c>
      <c r="D47" s="122">
        <f t="shared" si="2"/>
        <v>0.93797299999999995</v>
      </c>
      <c r="E47" s="122">
        <f t="shared" si="3"/>
        <v>0.56204100000000001</v>
      </c>
      <c r="G47" s="121">
        <f t="shared" si="0"/>
        <v>0.14810000000000001</v>
      </c>
    </row>
    <row r="48" spans="2:7" x14ac:dyDescent="0.25">
      <c r="B48" s="2">
        <f t="shared" si="1"/>
        <v>81</v>
      </c>
      <c r="C48" s="122">
        <f>IF(B48="","",VLOOKUP(B48,Qx!$B$4:$C$119,2))</f>
        <v>6.8614999999999995E-2</v>
      </c>
      <c r="D48" s="122">
        <f t="shared" si="2"/>
        <v>0.93138500000000002</v>
      </c>
      <c r="E48" s="122">
        <f t="shared" si="3"/>
        <v>0.52717899999999995</v>
      </c>
      <c r="G48" s="121">
        <f t="shared" si="0"/>
        <v>0.1336</v>
      </c>
    </row>
    <row r="49" spans="2:7" x14ac:dyDescent="0.25">
      <c r="B49" s="2">
        <f t="shared" si="1"/>
        <v>82</v>
      </c>
      <c r="C49" s="122">
        <f>IF(B49="","",VLOOKUP(B49,Qx!$B$4:$C$119,2))</f>
        <v>7.5532000000000002E-2</v>
      </c>
      <c r="D49" s="122">
        <f t="shared" si="2"/>
        <v>0.92446799999999996</v>
      </c>
      <c r="E49" s="122">
        <f t="shared" si="3"/>
        <v>0.49100700000000003</v>
      </c>
      <c r="G49" s="121">
        <f t="shared" si="0"/>
        <v>0.1196</v>
      </c>
    </row>
    <row r="50" spans="2:7" x14ac:dyDescent="0.25">
      <c r="B50" s="2">
        <f t="shared" si="1"/>
        <v>83</v>
      </c>
      <c r="C50" s="122">
        <f>IF(B50="","",VLOOKUP(B50,Qx!$B$4:$C$119,2))</f>
        <v>8.251E-2</v>
      </c>
      <c r="D50" s="122">
        <f t="shared" si="2"/>
        <v>0.91749000000000003</v>
      </c>
      <c r="E50" s="122">
        <f t="shared" si="3"/>
        <v>0.45391999999999999</v>
      </c>
      <c r="G50" s="121">
        <f t="shared" si="0"/>
        <v>0.10639999999999999</v>
      </c>
    </row>
    <row r="51" spans="2:7" x14ac:dyDescent="0.25">
      <c r="B51" s="2">
        <f t="shared" si="1"/>
        <v>84</v>
      </c>
      <c r="C51" s="122">
        <f>IF(B51="","",VLOOKUP(B51,Qx!$B$4:$C$119,2))</f>
        <v>8.9612999999999998E-2</v>
      </c>
      <c r="D51" s="122">
        <f t="shared" si="2"/>
        <v>0.91038699999999995</v>
      </c>
      <c r="E51" s="122">
        <f t="shared" si="3"/>
        <v>0.41646699999999998</v>
      </c>
      <c r="G51" s="121">
        <f t="shared" si="0"/>
        <v>9.3799999999999994E-2</v>
      </c>
    </row>
    <row r="52" spans="2:7" x14ac:dyDescent="0.25">
      <c r="B52" s="2">
        <f t="shared" si="1"/>
        <v>85</v>
      </c>
      <c r="C52" s="122">
        <f>IF(B52="","",VLOOKUP(B52,Qx!$B$4:$C$119,2))</f>
        <v>9.7239999999999993E-2</v>
      </c>
      <c r="D52" s="122">
        <f t="shared" si="2"/>
        <v>0.90276000000000001</v>
      </c>
      <c r="E52" s="122">
        <f t="shared" si="3"/>
        <v>0.37914599999999998</v>
      </c>
      <c r="G52" s="121">
        <f t="shared" si="0"/>
        <v>8.2100000000000006E-2</v>
      </c>
    </row>
    <row r="53" spans="2:7" x14ac:dyDescent="0.25">
      <c r="B53" s="2">
        <f t="shared" si="1"/>
        <v>86</v>
      </c>
      <c r="C53" s="122">
        <f>IF(B53="","",VLOOKUP(B53,Qx!$B$4:$C$119,2))</f>
        <v>0.105792</v>
      </c>
      <c r="D53" s="122">
        <f t="shared" si="2"/>
        <v>0.894208</v>
      </c>
      <c r="E53" s="122">
        <f t="shared" si="3"/>
        <v>0.34227800000000003</v>
      </c>
      <c r="G53" s="121">
        <f t="shared" si="0"/>
        <v>7.1300000000000002E-2</v>
      </c>
    </row>
    <row r="54" spans="2:7" x14ac:dyDescent="0.25">
      <c r="B54" s="2">
        <f t="shared" si="1"/>
        <v>87</v>
      </c>
      <c r="C54" s="122">
        <f>IF(B54="","",VLOOKUP(B54,Qx!$B$4:$C$119,2))</f>
        <v>0.115671</v>
      </c>
      <c r="D54" s="122">
        <f t="shared" si="2"/>
        <v>0.88432900000000003</v>
      </c>
      <c r="E54" s="122">
        <f t="shared" si="3"/>
        <v>0.30606800000000001</v>
      </c>
      <c r="G54" s="121">
        <f t="shared" si="0"/>
        <v>6.13E-2</v>
      </c>
    </row>
    <row r="55" spans="2:7" x14ac:dyDescent="0.25">
      <c r="B55" s="2">
        <f t="shared" si="1"/>
        <v>88</v>
      </c>
      <c r="C55" s="122">
        <f>IF(B55="","",VLOOKUP(B55,Qx!$B$4:$C$119,2))</f>
        <v>0.12698000000000001</v>
      </c>
      <c r="D55" s="122">
        <f t="shared" si="2"/>
        <v>0.87302000000000002</v>
      </c>
      <c r="E55" s="122">
        <f t="shared" si="3"/>
        <v>0.27066499999999999</v>
      </c>
      <c r="G55" s="121">
        <f t="shared" si="0"/>
        <v>5.21E-2</v>
      </c>
    </row>
    <row r="56" spans="2:7" x14ac:dyDescent="0.25">
      <c r="B56" s="2">
        <f t="shared" si="1"/>
        <v>89</v>
      </c>
      <c r="C56" s="122">
        <f>IF(B56="","",VLOOKUP(B56,Qx!$B$4:$C$119,2))</f>
        <v>0.13945199999999999</v>
      </c>
      <c r="D56" s="122">
        <f t="shared" si="2"/>
        <v>0.86054799999999998</v>
      </c>
      <c r="E56" s="122">
        <f t="shared" si="3"/>
        <v>0.23629600000000001</v>
      </c>
      <c r="G56" s="121">
        <f t="shared" si="0"/>
        <v>4.3799999999999999E-2</v>
      </c>
    </row>
    <row r="57" spans="2:7" x14ac:dyDescent="0.25">
      <c r="B57" s="2">
        <f t="shared" si="1"/>
        <v>90</v>
      </c>
      <c r="C57" s="122">
        <f>IF(B57="","",VLOOKUP(B57,Qx!$B$4:$C$119,2))</f>
        <v>0.15293100000000001</v>
      </c>
      <c r="D57" s="122">
        <f t="shared" si="2"/>
        <v>0.84706899999999996</v>
      </c>
      <c r="E57" s="122">
        <f t="shared" si="3"/>
        <v>0.203344</v>
      </c>
      <c r="G57" s="121">
        <f t="shared" si="0"/>
        <v>3.6200000000000003E-2</v>
      </c>
    </row>
    <row r="58" spans="2:7" x14ac:dyDescent="0.25">
      <c r="B58" s="2">
        <f t="shared" si="1"/>
        <v>91</v>
      </c>
      <c r="C58" s="122">
        <f>IF(B58="","",VLOOKUP(B58,Qx!$B$4:$C$119,2))</f>
        <v>0.16725999999999999</v>
      </c>
      <c r="D58" s="122">
        <f t="shared" si="2"/>
        <v>0.83274000000000004</v>
      </c>
      <c r="E58" s="122">
        <f t="shared" si="3"/>
        <v>0.17224600000000001</v>
      </c>
      <c r="G58" s="121">
        <f t="shared" si="0"/>
        <v>2.9499999999999998E-2</v>
      </c>
    </row>
    <row r="59" spans="2:7" x14ac:dyDescent="0.25">
      <c r="B59" s="2">
        <f t="shared" si="1"/>
        <v>92</v>
      </c>
      <c r="C59" s="122">
        <f>IF(B59="","",VLOOKUP(B59,Qx!$B$4:$C$119,2))</f>
        <v>0.182281</v>
      </c>
      <c r="D59" s="122">
        <f t="shared" si="2"/>
        <v>0.81771899999999997</v>
      </c>
      <c r="E59" s="122">
        <f t="shared" si="3"/>
        <v>0.14343600000000001</v>
      </c>
      <c r="G59" s="121">
        <f t="shared" si="0"/>
        <v>2.3599999999999999E-2</v>
      </c>
    </row>
    <row r="60" spans="2:7" x14ac:dyDescent="0.25">
      <c r="B60" s="2">
        <f t="shared" si="1"/>
        <v>93</v>
      </c>
      <c r="C60" s="122">
        <f>IF(B60="","",VLOOKUP(B60,Qx!$B$4:$C$119,2))</f>
        <v>0.19839200000000001</v>
      </c>
      <c r="D60" s="122">
        <f t="shared" si="2"/>
        <v>0.80160799999999999</v>
      </c>
      <c r="E60" s="122">
        <f t="shared" si="3"/>
        <v>0.11729000000000001</v>
      </c>
      <c r="G60" s="121">
        <f t="shared" si="0"/>
        <v>1.8599999999999998E-2</v>
      </c>
    </row>
    <row r="61" spans="2:7" x14ac:dyDescent="0.25">
      <c r="B61" s="2">
        <f t="shared" si="1"/>
        <v>94</v>
      </c>
      <c r="C61" s="122">
        <f>IF(B61="","",VLOOKUP(B61,Qx!$B$4:$C$119,2))</f>
        <v>0.2157</v>
      </c>
      <c r="D61" s="122">
        <f t="shared" si="2"/>
        <v>0.7843</v>
      </c>
      <c r="E61" s="122">
        <f t="shared" si="3"/>
        <v>9.4020999999999993E-2</v>
      </c>
      <c r="G61" s="121">
        <f t="shared" si="0"/>
        <v>1.43E-2</v>
      </c>
    </row>
    <row r="62" spans="2:7" x14ac:dyDescent="0.25">
      <c r="B62" s="2">
        <f t="shared" si="1"/>
        <v>95</v>
      </c>
      <c r="C62" s="122">
        <f>IF(B62="","",VLOOKUP(B62,Qx!$B$4:$C$119,2))</f>
        <v>0.23360600000000001</v>
      </c>
      <c r="D62" s="122">
        <f t="shared" si="2"/>
        <v>0.76639400000000002</v>
      </c>
      <c r="E62" s="122">
        <f t="shared" si="3"/>
        <v>7.3741000000000001E-2</v>
      </c>
      <c r="G62" s="121">
        <f t="shared" si="0"/>
        <v>1.0800000000000001E-2</v>
      </c>
    </row>
    <row r="63" spans="2:7" x14ac:dyDescent="0.25">
      <c r="B63" s="2">
        <f t="shared" si="1"/>
        <v>96</v>
      </c>
      <c r="C63" s="122">
        <f>IF(B63="","",VLOOKUP(B63,Qx!$B$4:$C$119,2))</f>
        <v>0.25151000000000001</v>
      </c>
      <c r="D63" s="122">
        <f t="shared" si="2"/>
        <v>0.74848999999999999</v>
      </c>
      <c r="E63" s="122">
        <f t="shared" si="3"/>
        <v>5.6515000000000003E-2</v>
      </c>
      <c r="G63" s="121">
        <f t="shared" si="0"/>
        <v>8.0000000000000002E-3</v>
      </c>
    </row>
    <row r="64" spans="2:7" x14ac:dyDescent="0.25">
      <c r="B64" s="2">
        <f t="shared" si="1"/>
        <v>97</v>
      </c>
      <c r="C64" s="122">
        <f>IF(B64="","",VLOOKUP(B64,Qx!$B$4:$C$119,2))</f>
        <v>0.26881500000000003</v>
      </c>
      <c r="D64" s="122">
        <f t="shared" si="2"/>
        <v>0.73118499999999997</v>
      </c>
      <c r="E64" s="122">
        <f t="shared" si="3"/>
        <v>4.2300999999999998E-2</v>
      </c>
      <c r="G64" s="121">
        <f t="shared" si="0"/>
        <v>5.7000000000000002E-3</v>
      </c>
    </row>
    <row r="65" spans="2:7" x14ac:dyDescent="0.25">
      <c r="B65" s="2">
        <f t="shared" si="1"/>
        <v>98</v>
      </c>
      <c r="C65" s="122">
        <f>IF(B65="","",VLOOKUP(B65,Qx!$B$4:$C$119,2))</f>
        <v>0.285277</v>
      </c>
      <c r="D65" s="122">
        <f t="shared" si="2"/>
        <v>0.714723</v>
      </c>
      <c r="E65" s="122">
        <f t="shared" si="3"/>
        <v>3.0929999999999999E-2</v>
      </c>
      <c r="G65" s="121">
        <f t="shared" si="0"/>
        <v>4.0000000000000001E-3</v>
      </c>
    </row>
    <row r="66" spans="2:7" x14ac:dyDescent="0.25">
      <c r="B66" s="2">
        <f t="shared" si="1"/>
        <v>99</v>
      </c>
      <c r="C66" s="122">
        <f>IF(B66="","",VLOOKUP(B66,Qx!$B$4:$C$119,2))</f>
        <v>0.30129800000000001</v>
      </c>
      <c r="D66" s="122">
        <f t="shared" si="2"/>
        <v>0.69870200000000005</v>
      </c>
      <c r="E66" s="122">
        <f t="shared" si="3"/>
        <v>2.2106000000000001E-2</v>
      </c>
      <c r="G66" s="121">
        <f t="shared" si="0"/>
        <v>2.8E-3</v>
      </c>
    </row>
    <row r="67" spans="2:7" x14ac:dyDescent="0.25">
      <c r="B67" s="2">
        <f t="shared" si="1"/>
        <v>100</v>
      </c>
      <c r="C67" s="122">
        <f>IF(B67="","",VLOOKUP(B67,Qx!$B$4:$C$119,2))</f>
        <v>0.31723800000000002</v>
      </c>
      <c r="D67" s="122">
        <f t="shared" si="2"/>
        <v>0.68276199999999998</v>
      </c>
      <c r="E67" s="122">
        <f t="shared" si="3"/>
        <v>1.5446E-2</v>
      </c>
      <c r="G67" s="121">
        <f t="shared" si="0"/>
        <v>1.9E-3</v>
      </c>
    </row>
    <row r="68" spans="2:7" x14ac:dyDescent="0.25">
      <c r="B68" s="2">
        <f t="shared" si="1"/>
        <v>101</v>
      </c>
      <c r="C68" s="122">
        <f>IF(B68="","",VLOOKUP(B68,Qx!$B$4:$C$119,2))</f>
        <v>0.33346100000000001</v>
      </c>
      <c r="D68" s="122">
        <f t="shared" si="2"/>
        <v>0.66653899999999999</v>
      </c>
      <c r="E68" s="122">
        <f t="shared" si="3"/>
        <v>1.0546E-2</v>
      </c>
      <c r="G68" s="121">
        <f t="shared" si="0"/>
        <v>1.1999999999999999E-3</v>
      </c>
    </row>
    <row r="69" spans="2:7" x14ac:dyDescent="0.25">
      <c r="B69" s="2">
        <f t="shared" si="1"/>
        <v>102</v>
      </c>
      <c r="C69" s="122">
        <f>IF(B69="","",VLOOKUP(B69,Qx!$B$4:$C$119,2))</f>
        <v>0.35032999999999997</v>
      </c>
      <c r="D69" s="122">
        <f t="shared" si="2"/>
        <v>0.64966999999999997</v>
      </c>
      <c r="E69" s="122">
        <f t="shared" si="3"/>
        <v>7.0289999999999997E-3</v>
      </c>
      <c r="G69" s="121">
        <f t="shared" si="0"/>
        <v>8.0000000000000004E-4</v>
      </c>
    </row>
    <row r="70" spans="2:7" x14ac:dyDescent="0.25">
      <c r="B70" s="2">
        <f t="shared" si="1"/>
        <v>103</v>
      </c>
      <c r="C70" s="122">
        <f>IF(B70="","",VLOOKUP(B70,Qx!$B$4:$C$119,2))</f>
        <v>0.36854199999999998</v>
      </c>
      <c r="D70" s="122">
        <f t="shared" si="2"/>
        <v>0.63145799999999996</v>
      </c>
      <c r="E70" s="122">
        <f t="shared" si="3"/>
        <v>4.5669999999999999E-3</v>
      </c>
      <c r="G70" s="121">
        <f t="shared" si="0"/>
        <v>5.0000000000000001E-4</v>
      </c>
    </row>
    <row r="71" spans="2:7" x14ac:dyDescent="0.25">
      <c r="B71" s="2">
        <f t="shared" si="1"/>
        <v>104</v>
      </c>
      <c r="C71" s="122">
        <f>IF(B71="","",VLOOKUP(B71,Qx!$B$4:$C$119,2))</f>
        <v>0.38785500000000001</v>
      </c>
      <c r="D71" s="122">
        <f t="shared" si="2"/>
        <v>0.61214500000000005</v>
      </c>
      <c r="E71" s="122">
        <f t="shared" si="3"/>
        <v>2.8839999999999998E-3</v>
      </c>
      <c r="G71" s="121">
        <f t="shared" si="0"/>
        <v>2.9999999999999997E-4</v>
      </c>
    </row>
    <row r="72" spans="2:7" x14ac:dyDescent="0.25">
      <c r="B72" s="2">
        <f t="shared" si="1"/>
        <v>105</v>
      </c>
      <c r="C72" s="122">
        <f>IF(B72="","",VLOOKUP(B72,Qx!$B$4:$C$119,2))</f>
        <v>0.40722399999999997</v>
      </c>
      <c r="D72" s="122">
        <f t="shared" si="2"/>
        <v>0.59277599999999997</v>
      </c>
      <c r="E72" s="122">
        <f t="shared" si="3"/>
        <v>1.7650000000000001E-3</v>
      </c>
      <c r="G72" s="121">
        <f t="shared" si="0"/>
        <v>2.0000000000000001E-4</v>
      </c>
    </row>
    <row r="73" spans="2:7" x14ac:dyDescent="0.25">
      <c r="B73" s="2">
        <f t="shared" si="1"/>
        <v>106</v>
      </c>
      <c r="C73" s="122">
        <f>IF(B73="","",VLOOKUP(B73,Qx!$B$4:$C$119,2))</f>
        <v>0.42559900000000001</v>
      </c>
      <c r="D73" s="122">
        <f t="shared" si="2"/>
        <v>0.57440100000000005</v>
      </c>
      <c r="E73" s="122">
        <f t="shared" si="3"/>
        <v>1.0460000000000001E-3</v>
      </c>
      <c r="G73" s="121">
        <f t="shared" si="0"/>
        <v>1E-4</v>
      </c>
    </row>
    <row r="74" spans="2:7" x14ac:dyDescent="0.25">
      <c r="B74" s="2">
        <f t="shared" si="1"/>
        <v>107</v>
      </c>
      <c r="C74" s="122">
        <f>IF(B74="","",VLOOKUP(B74,Qx!$B$4:$C$119,2))</f>
        <v>0.44193500000000002</v>
      </c>
      <c r="D74" s="122">
        <f t="shared" si="2"/>
        <v>0.55806500000000003</v>
      </c>
      <c r="E74" s="122">
        <f t="shared" si="3"/>
        <v>6.0099999999999997E-4</v>
      </c>
      <c r="G74" s="121">
        <f t="shared" si="0"/>
        <v>1E-4</v>
      </c>
    </row>
    <row r="75" spans="2:7" x14ac:dyDescent="0.25">
      <c r="B75" s="2">
        <f t="shared" si="1"/>
        <v>108</v>
      </c>
      <c r="C75" s="122">
        <f>IF(B75="","",VLOOKUP(B75,Qx!$B$4:$C$119,2))</f>
        <v>0.45755299999999999</v>
      </c>
      <c r="D75" s="122">
        <f t="shared" si="2"/>
        <v>0.54244700000000001</v>
      </c>
      <c r="E75" s="122">
        <f t="shared" si="3"/>
        <v>3.3500000000000001E-4</v>
      </c>
      <c r="G75" s="121">
        <f t="shared" si="0"/>
        <v>0</v>
      </c>
    </row>
    <row r="76" spans="2:7" x14ac:dyDescent="0.25">
      <c r="B76" s="2">
        <f t="shared" si="1"/>
        <v>109</v>
      </c>
      <c r="C76" s="122">
        <f>IF(B76="","",VLOOKUP(B76,Qx!$B$4:$C$119,2))</f>
        <v>0.47315000000000002</v>
      </c>
      <c r="D76" s="122">
        <f t="shared" si="2"/>
        <v>0.52685000000000004</v>
      </c>
      <c r="E76" s="122">
        <f t="shared" si="3"/>
        <v>1.8200000000000001E-4</v>
      </c>
      <c r="G76" s="121">
        <f t="shared" si="0"/>
        <v>0</v>
      </c>
    </row>
    <row r="77" spans="2:7" x14ac:dyDescent="0.25">
      <c r="B77" s="2">
        <f t="shared" si="1"/>
        <v>110</v>
      </c>
      <c r="C77" s="122">
        <f>IF(B77="","",VLOOKUP(B77,Qx!$B$4:$C$119,2))</f>
        <v>0.48674499999999998</v>
      </c>
      <c r="D77" s="122">
        <f t="shared" si="2"/>
        <v>0.51325500000000002</v>
      </c>
      <c r="E77" s="122">
        <f t="shared" si="3"/>
        <v>9.6000000000000002E-5</v>
      </c>
      <c r="G77" s="121">
        <f>IF(B77="","",ROUND((E77/(1+$G$5)^(B77-$B$13)),4))</f>
        <v>0</v>
      </c>
    </row>
    <row r="78" spans="2:7" x14ac:dyDescent="0.25">
      <c r="B78" s="2">
        <f t="shared" ref="B78:B88" si="4">IF((OR(B77=120, B77="")),"", B77+1)</f>
        <v>111</v>
      </c>
      <c r="C78" s="122">
        <f>IF(B78="","",VLOOKUP(B78,Qx!$B$4:$C$119,2))</f>
        <v>0.49635600000000002</v>
      </c>
      <c r="D78" s="122">
        <f t="shared" ref="D78:D86" si="5">IF(B79="","", ROUND(1-C78,6))</f>
        <v>0.50364399999999998</v>
      </c>
      <c r="E78" s="122">
        <f t="shared" si="3"/>
        <v>4.8999999999999998E-5</v>
      </c>
      <c r="G78" s="121">
        <f t="shared" ref="G78:G87" si="6">IF(B78="","",ROUND((E78/(1+$G$5)^(B78-$B$13)),4))</f>
        <v>0</v>
      </c>
    </row>
    <row r="79" spans="2:7" x14ac:dyDescent="0.25">
      <c r="B79" s="2">
        <f t="shared" si="4"/>
        <v>112</v>
      </c>
      <c r="C79" s="122">
        <f>IF(B79="","",VLOOKUP(B79,Qx!$B$4:$C$119,2))</f>
        <v>0.5</v>
      </c>
      <c r="D79" s="122">
        <f t="shared" si="5"/>
        <v>0.5</v>
      </c>
      <c r="E79" s="122">
        <f t="shared" ref="E79:E87" si="7">IF(B79="","",ROUND((D78*E78),6))</f>
        <v>2.5000000000000001E-5</v>
      </c>
      <c r="G79" s="121">
        <f t="shared" si="6"/>
        <v>0</v>
      </c>
    </row>
    <row r="80" spans="2:7" x14ac:dyDescent="0.25">
      <c r="B80" s="2">
        <f t="shared" si="4"/>
        <v>113</v>
      </c>
      <c r="C80" s="122">
        <f>IF(B80="","",VLOOKUP(B80,Qx!$B$4:$C$119,2))</f>
        <v>0.5</v>
      </c>
      <c r="D80" s="122">
        <f t="shared" si="5"/>
        <v>0.5</v>
      </c>
      <c r="E80" s="122">
        <f t="shared" si="7"/>
        <v>1.2999999999999999E-5</v>
      </c>
      <c r="G80" s="121">
        <f t="shared" si="6"/>
        <v>0</v>
      </c>
    </row>
    <row r="81" spans="2:7" x14ac:dyDescent="0.25">
      <c r="B81" s="2">
        <f t="shared" si="4"/>
        <v>114</v>
      </c>
      <c r="C81" s="122">
        <f>IF(B81="","",VLOOKUP(B81,Qx!$B$4:$C$119,2))</f>
        <v>0.5</v>
      </c>
      <c r="D81" s="122">
        <f t="shared" si="5"/>
        <v>0.5</v>
      </c>
      <c r="E81" s="122">
        <f t="shared" si="7"/>
        <v>6.9999999999999999E-6</v>
      </c>
      <c r="G81" s="121">
        <f t="shared" si="6"/>
        <v>0</v>
      </c>
    </row>
    <row r="82" spans="2:7" x14ac:dyDescent="0.25">
      <c r="B82" s="2">
        <f t="shared" si="4"/>
        <v>115</v>
      </c>
      <c r="C82" s="122">
        <f>IF(B82="","",VLOOKUP(B82,Qx!$B$4:$C$119,2))</f>
        <v>0.5</v>
      </c>
      <c r="D82" s="122">
        <f t="shared" si="5"/>
        <v>0.5</v>
      </c>
      <c r="E82" s="122">
        <f t="shared" si="7"/>
        <v>3.9999999999999998E-6</v>
      </c>
      <c r="G82" s="121">
        <f t="shared" si="6"/>
        <v>0</v>
      </c>
    </row>
    <row r="83" spans="2:7" x14ac:dyDescent="0.25">
      <c r="B83" s="2">
        <f t="shared" si="4"/>
        <v>116</v>
      </c>
      <c r="C83" s="122">
        <f>IF(B83="","",VLOOKUP(B83,Qx!$B$4:$C$119,2))</f>
        <v>0.5</v>
      </c>
      <c r="D83" s="122">
        <f t="shared" si="5"/>
        <v>0.5</v>
      </c>
      <c r="E83" s="122">
        <f t="shared" si="7"/>
        <v>1.9999999999999999E-6</v>
      </c>
      <c r="G83" s="121">
        <f t="shared" si="6"/>
        <v>0</v>
      </c>
    </row>
    <row r="84" spans="2:7" x14ac:dyDescent="0.25">
      <c r="B84" s="2">
        <f t="shared" si="4"/>
        <v>117</v>
      </c>
      <c r="C84" s="122">
        <f>IF(B84="","",VLOOKUP(B84,Qx!$B$4:$C$119,2))</f>
        <v>0.5</v>
      </c>
      <c r="D84" s="122">
        <f t="shared" si="5"/>
        <v>0.5</v>
      </c>
      <c r="E84" s="122">
        <f t="shared" si="7"/>
        <v>9.9999999999999995E-7</v>
      </c>
      <c r="G84" s="121">
        <f t="shared" si="6"/>
        <v>0</v>
      </c>
    </row>
    <row r="85" spans="2:7" x14ac:dyDescent="0.25">
      <c r="B85" s="2">
        <f t="shared" si="4"/>
        <v>118</v>
      </c>
      <c r="C85" s="122">
        <f>IF(B85="","",VLOOKUP(B85,Qx!$B$4:$C$119,2))</f>
        <v>0.5</v>
      </c>
      <c r="D85" s="122">
        <f t="shared" si="5"/>
        <v>0.5</v>
      </c>
      <c r="E85" s="122">
        <f t="shared" si="7"/>
        <v>9.9999999999999995E-7</v>
      </c>
      <c r="G85" s="121">
        <f t="shared" si="6"/>
        <v>0</v>
      </c>
    </row>
    <row r="86" spans="2:7" x14ac:dyDescent="0.25">
      <c r="B86" s="2">
        <f t="shared" si="4"/>
        <v>119</v>
      </c>
      <c r="C86" s="122">
        <f>IF(B86="","",VLOOKUP(B86,Qx!$B$4:$C$119,2))</f>
        <v>0.5</v>
      </c>
      <c r="D86" s="122">
        <f t="shared" si="5"/>
        <v>0.5</v>
      </c>
      <c r="E86" s="122">
        <f t="shared" si="7"/>
        <v>9.9999999999999995E-7</v>
      </c>
      <c r="G86" s="121">
        <f t="shared" si="6"/>
        <v>0</v>
      </c>
    </row>
    <row r="87" spans="2:7" x14ac:dyDescent="0.25">
      <c r="B87" s="2">
        <f t="shared" si="4"/>
        <v>120</v>
      </c>
      <c r="C87" s="122">
        <f>IF(B87="","",VLOOKUP(B87,Qx!$B$4:$C$119,2))</f>
        <v>1</v>
      </c>
      <c r="D87" s="122" t="str">
        <f>IF(B88="","", ROUND(1-C87,6))</f>
        <v/>
      </c>
      <c r="E87" s="122">
        <f t="shared" si="7"/>
        <v>9.9999999999999995E-7</v>
      </c>
      <c r="G87" s="121">
        <f t="shared" si="6"/>
        <v>0</v>
      </c>
    </row>
    <row r="88" spans="2:7" x14ac:dyDescent="0.25">
      <c r="B88" s="2" t="str">
        <f t="shared" si="4"/>
        <v/>
      </c>
    </row>
    <row r="89" spans="2:7" x14ac:dyDescent="0.25">
      <c r="B89" s="2" t="str">
        <f>IF((OR(B88=120, B88="")),"", B88+1)</f>
        <v/>
      </c>
    </row>
    <row r="90" spans="2:7" x14ac:dyDescent="0.25">
      <c r="B90" s="2" t="str">
        <f t="shared" ref="B90:B133" si="8">IF((OR(B89=120, B89="")),"", B89+1)</f>
        <v/>
      </c>
    </row>
    <row r="91" spans="2:7" x14ac:dyDescent="0.25">
      <c r="B91" s="2" t="str">
        <f t="shared" si="8"/>
        <v/>
      </c>
    </row>
    <row r="92" spans="2:7" x14ac:dyDescent="0.25">
      <c r="B92" s="2" t="str">
        <f t="shared" si="8"/>
        <v/>
      </c>
    </row>
    <row r="93" spans="2:7" x14ac:dyDescent="0.25">
      <c r="B93" s="2" t="str">
        <f t="shared" si="8"/>
        <v/>
      </c>
    </row>
    <row r="94" spans="2:7" x14ac:dyDescent="0.25">
      <c r="B94" s="2" t="str">
        <f t="shared" si="8"/>
        <v/>
      </c>
    </row>
    <row r="95" spans="2:7" x14ac:dyDescent="0.25">
      <c r="B95" s="2" t="str">
        <f t="shared" si="8"/>
        <v/>
      </c>
    </row>
    <row r="96" spans="2:7" x14ac:dyDescent="0.25">
      <c r="B96" s="2" t="str">
        <f t="shared" si="8"/>
        <v/>
      </c>
    </row>
    <row r="97" spans="2:2" x14ac:dyDescent="0.25">
      <c r="B97" s="2" t="str">
        <f t="shared" si="8"/>
        <v/>
      </c>
    </row>
    <row r="98" spans="2:2" x14ac:dyDescent="0.25">
      <c r="B98" s="2" t="str">
        <f t="shared" si="8"/>
        <v/>
      </c>
    </row>
    <row r="99" spans="2:2" x14ac:dyDescent="0.25">
      <c r="B99" s="2" t="str">
        <f t="shared" si="8"/>
        <v/>
      </c>
    </row>
    <row r="100" spans="2:2" x14ac:dyDescent="0.25">
      <c r="B100" s="2" t="str">
        <f t="shared" si="8"/>
        <v/>
      </c>
    </row>
    <row r="101" spans="2:2" x14ac:dyDescent="0.25">
      <c r="B101" s="2" t="str">
        <f t="shared" si="8"/>
        <v/>
      </c>
    </row>
    <row r="102" spans="2:2" x14ac:dyDescent="0.25">
      <c r="B102" s="2" t="str">
        <f t="shared" si="8"/>
        <v/>
      </c>
    </row>
    <row r="103" spans="2:2" x14ac:dyDescent="0.25">
      <c r="B103" s="2" t="str">
        <f t="shared" si="8"/>
        <v/>
      </c>
    </row>
    <row r="104" spans="2:2" x14ac:dyDescent="0.25">
      <c r="B104" s="2" t="str">
        <f t="shared" si="8"/>
        <v/>
      </c>
    </row>
    <row r="105" spans="2:2" x14ac:dyDescent="0.25">
      <c r="B105" s="2" t="str">
        <f t="shared" si="8"/>
        <v/>
      </c>
    </row>
    <row r="106" spans="2:2" x14ac:dyDescent="0.25">
      <c r="B106" s="2" t="str">
        <f t="shared" si="8"/>
        <v/>
      </c>
    </row>
    <row r="107" spans="2:2" x14ac:dyDescent="0.25">
      <c r="B107" s="2" t="str">
        <f t="shared" si="8"/>
        <v/>
      </c>
    </row>
    <row r="108" spans="2:2" x14ac:dyDescent="0.25">
      <c r="B108" s="2" t="str">
        <f t="shared" si="8"/>
        <v/>
      </c>
    </row>
    <row r="109" spans="2:2" x14ac:dyDescent="0.25">
      <c r="B109" s="2" t="str">
        <f t="shared" si="8"/>
        <v/>
      </c>
    </row>
    <row r="110" spans="2:2" x14ac:dyDescent="0.25">
      <c r="B110" s="2" t="str">
        <f t="shared" si="8"/>
        <v/>
      </c>
    </row>
    <row r="111" spans="2:2" x14ac:dyDescent="0.25">
      <c r="B111" s="2" t="str">
        <f t="shared" si="8"/>
        <v/>
      </c>
    </row>
    <row r="112" spans="2:2" x14ac:dyDescent="0.25">
      <c r="B112" s="2" t="str">
        <f t="shared" si="8"/>
        <v/>
      </c>
    </row>
    <row r="113" spans="2:2" x14ac:dyDescent="0.25">
      <c r="B113" s="2" t="str">
        <f t="shared" si="8"/>
        <v/>
      </c>
    </row>
    <row r="114" spans="2:2" x14ac:dyDescent="0.25">
      <c r="B114" s="2" t="str">
        <f t="shared" si="8"/>
        <v/>
      </c>
    </row>
    <row r="115" spans="2:2" x14ac:dyDescent="0.25">
      <c r="B115" s="2" t="str">
        <f t="shared" si="8"/>
        <v/>
      </c>
    </row>
    <row r="116" spans="2:2" x14ac:dyDescent="0.25">
      <c r="B116" s="2" t="str">
        <f t="shared" si="8"/>
        <v/>
      </c>
    </row>
    <row r="117" spans="2:2" x14ac:dyDescent="0.25">
      <c r="B117" s="2" t="str">
        <f t="shared" si="8"/>
        <v/>
      </c>
    </row>
    <row r="118" spans="2:2" x14ac:dyDescent="0.25">
      <c r="B118" s="2" t="str">
        <f t="shared" si="8"/>
        <v/>
      </c>
    </row>
    <row r="119" spans="2:2" x14ac:dyDescent="0.25">
      <c r="B119" s="2" t="str">
        <f t="shared" si="8"/>
        <v/>
      </c>
    </row>
    <row r="120" spans="2:2" x14ac:dyDescent="0.25">
      <c r="B120" s="2" t="str">
        <f t="shared" si="8"/>
        <v/>
      </c>
    </row>
    <row r="121" spans="2:2" x14ac:dyDescent="0.25">
      <c r="B121" s="2" t="str">
        <f t="shared" si="8"/>
        <v/>
      </c>
    </row>
    <row r="122" spans="2:2" x14ac:dyDescent="0.25">
      <c r="B122" s="2" t="str">
        <f t="shared" si="8"/>
        <v/>
      </c>
    </row>
    <row r="123" spans="2:2" x14ac:dyDescent="0.25">
      <c r="B123" s="2" t="str">
        <f t="shared" si="8"/>
        <v/>
      </c>
    </row>
    <row r="124" spans="2:2" x14ac:dyDescent="0.25">
      <c r="B124" s="2" t="str">
        <f t="shared" si="8"/>
        <v/>
      </c>
    </row>
    <row r="125" spans="2:2" x14ac:dyDescent="0.25">
      <c r="B125" s="2" t="str">
        <f t="shared" si="8"/>
        <v/>
      </c>
    </row>
    <row r="126" spans="2:2" x14ac:dyDescent="0.25">
      <c r="B126" s="2" t="str">
        <f t="shared" si="8"/>
        <v/>
      </c>
    </row>
    <row r="127" spans="2:2" x14ac:dyDescent="0.25">
      <c r="B127" s="2" t="str">
        <f t="shared" si="8"/>
        <v/>
      </c>
    </row>
    <row r="128" spans="2:2" x14ac:dyDescent="0.25">
      <c r="B128" s="2" t="str">
        <f t="shared" si="8"/>
        <v/>
      </c>
    </row>
    <row r="129" spans="2:2" x14ac:dyDescent="0.25">
      <c r="B129" s="2" t="str">
        <f t="shared" si="8"/>
        <v/>
      </c>
    </row>
    <row r="130" spans="2:2" x14ac:dyDescent="0.25">
      <c r="B130" s="2" t="str">
        <f t="shared" si="8"/>
        <v/>
      </c>
    </row>
    <row r="131" spans="2:2" x14ac:dyDescent="0.25">
      <c r="B131" s="2" t="str">
        <f t="shared" si="8"/>
        <v/>
      </c>
    </row>
    <row r="132" spans="2:2" x14ac:dyDescent="0.25">
      <c r="B132" s="2" t="str">
        <f t="shared" si="8"/>
        <v/>
      </c>
    </row>
    <row r="133" spans="2:2" x14ac:dyDescent="0.25">
      <c r="B133" s="2" t="str">
        <f t="shared" si="8"/>
        <v/>
      </c>
    </row>
  </sheetData>
  <mergeCells count="2">
    <mergeCell ref="B2:G2"/>
    <mergeCell ref="B11:G11"/>
  </mergeCells>
  <printOptions horizontalCentered="1"/>
  <pageMargins left="0.7" right="0.7" top="0.75" bottom="0.75" header="0.3" footer="0.3"/>
  <pageSetup fitToHeight="3" orientation="portrait" r:id="rId1"/>
  <headerFooter>
    <oddFooter>&amp;L&amp;A
&amp;F&amp;R&amp;T
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F5C6-4DEE-41B0-AB42-35BA51818CAD}">
  <sheetPr>
    <pageSetUpPr fitToPage="1"/>
  </sheetPr>
  <dimension ref="B1:G27"/>
  <sheetViews>
    <sheetView showGridLines="0" workbookViewId="0">
      <selection activeCell="I19" sqref="I19"/>
    </sheetView>
  </sheetViews>
  <sheetFormatPr defaultRowHeight="15" x14ac:dyDescent="0.25"/>
  <cols>
    <col min="2" max="2" width="3.7109375" customWidth="1"/>
    <col min="3" max="3" width="37.7109375" customWidth="1"/>
    <col min="4" max="4" width="18.85546875" customWidth="1"/>
    <col min="5" max="5" width="28.5703125" style="93" customWidth="1"/>
    <col min="6" max="6" width="3.7109375" customWidth="1"/>
    <col min="7" max="7" width="8" customWidth="1"/>
  </cols>
  <sheetData>
    <row r="1" spans="2:7" ht="15.75" thickBot="1" x14ac:dyDescent="0.3"/>
    <row r="2" spans="2:7" ht="15.75" thickBot="1" x14ac:dyDescent="0.3">
      <c r="B2" s="84"/>
      <c r="C2" s="85"/>
      <c r="D2" s="85"/>
      <c r="E2" s="94"/>
      <c r="F2" s="86"/>
    </row>
    <row r="3" spans="2:7" ht="19.5" thickBot="1" x14ac:dyDescent="0.35">
      <c r="B3" s="87"/>
      <c r="C3" s="148" t="s">
        <v>58</v>
      </c>
      <c r="D3" s="149"/>
      <c r="E3" s="150"/>
      <c r="F3" s="88"/>
    </row>
    <row r="4" spans="2:7" ht="15.75" thickBot="1" x14ac:dyDescent="0.3">
      <c r="B4" s="87"/>
      <c r="C4" s="17"/>
      <c r="D4" s="17"/>
      <c r="E4" s="95"/>
      <c r="F4" s="88"/>
      <c r="G4" s="1"/>
    </row>
    <row r="5" spans="2:7" ht="16.5" thickBot="1" x14ac:dyDescent="0.3">
      <c r="B5" s="87"/>
      <c r="C5" s="89" t="s">
        <v>1</v>
      </c>
      <c r="D5" s="17"/>
      <c r="E5" s="98" t="str">
        <f>IF(ISNUMBER(FIND(" ",(VLOOKUP(E26,Record!A4:H14,2,FALSE)))),MID(VLOOKUP(E26,Record!A4:H14,2,FALSE),FIND(",",VLOOKUP(E26,Record!A4:H14,2,FALSE))+1,FIND(" ",VLOOKUP(E26,Record!A4:H14,2,FALSE))-FIND(",",VLOOKUP(E26,Record!A4:H14,2,FALSE)))&amp;MID(VLOOKUP(E26,Record!A4:H14,2,FALSE),1,FIND(",",VLOOKUP(E26,Record!A4:H14,2,FALSE))-1),RIGHT(VLOOKUP(E26,Record!A4:H14,2,FALSE), LEN(VLOOKUP(E26,Record!A4:H14,2,FALSE))-FIND(",",VLOOKUP(E26,Record!A4:H14,2,FALSE)))&amp;" "&amp;LEFT(VLOOKUP(E26,Record!A4:H14,2,FALSE),FIND(",",VLOOKUP(E26,Record!A4:H14,2,FALSE))-1))</f>
        <v>Diane Aho</v>
      </c>
      <c r="F5" s="88"/>
    </row>
    <row r="6" spans="2:7" ht="15.75" thickBot="1" x14ac:dyDescent="0.3">
      <c r="B6" s="87"/>
      <c r="C6" s="89"/>
      <c r="D6" s="17"/>
      <c r="E6" s="95"/>
      <c r="F6" s="88"/>
    </row>
    <row r="7" spans="2:7" ht="15.75" thickBot="1" x14ac:dyDescent="0.3">
      <c r="B7" s="87"/>
      <c r="C7" s="89" t="s">
        <v>5</v>
      </c>
      <c r="D7" s="17"/>
      <c r="E7" s="99">
        <f>VLOOKUP($E$26,Record!$A$4:$H$14,5,FALSE)</f>
        <v>26458</v>
      </c>
      <c r="F7" s="88"/>
    </row>
    <row r="8" spans="2:7" ht="15.75" thickBot="1" x14ac:dyDescent="0.3">
      <c r="B8" s="87"/>
      <c r="C8" s="89" t="s">
        <v>4</v>
      </c>
      <c r="D8" s="17"/>
      <c r="E8" s="99">
        <f>VLOOKUP($E$26,Record!$A$4:$H$14,6,FALSE)</f>
        <v>40973</v>
      </c>
      <c r="F8" s="88"/>
    </row>
    <row r="9" spans="2:7" ht="15.75" thickBot="1" x14ac:dyDescent="0.3">
      <c r="B9" s="87"/>
      <c r="C9" s="89" t="s">
        <v>59</v>
      </c>
      <c r="D9" s="17"/>
      <c r="E9" s="99">
        <f>IF(ABS(MONTH(EOMONTH(E8-1,12)+1)-MONTH(E8))&gt;=6, EDATE(EOMONTH(EDATE(E8,12),-MONTH(EDATE(E8,12)))+1,12), EOMONTH(EDATE(E8,12),-MONTH(EDATE(E8,12))+6)+1)</f>
        <v>41456</v>
      </c>
      <c r="F9" s="88"/>
    </row>
    <row r="10" spans="2:7" ht="15.75" thickBot="1" x14ac:dyDescent="0.3">
      <c r="B10" s="87"/>
      <c r="C10" s="89" t="s">
        <v>68</v>
      </c>
      <c r="D10" s="17"/>
      <c r="E10" s="99">
        <f>EOMONTH(MAX(EDATE(E7,12*65),EDATE(E8,12*5)), 0)+1</f>
        <v>50222</v>
      </c>
      <c r="F10" s="88"/>
    </row>
    <row r="11" spans="2:7" ht="15.75" thickBot="1" x14ac:dyDescent="0.3">
      <c r="B11" s="87"/>
      <c r="C11" s="89" t="s">
        <v>2</v>
      </c>
      <c r="D11" s="17"/>
      <c r="E11" s="100">
        <f>VLOOKUP($E$26,Record!$A$4:$H$14,3,FALSE)</f>
        <v>96000</v>
      </c>
      <c r="F11" s="88"/>
    </row>
    <row r="12" spans="2:7" ht="15.75" thickBot="1" x14ac:dyDescent="0.3">
      <c r="B12" s="87"/>
      <c r="C12" s="89" t="s">
        <v>60</v>
      </c>
      <c r="D12" s="17"/>
      <c r="E12" s="101">
        <f>YEAR(Record!H1)-YEAR(E7)-IF(Record!H1&lt;DATE(YEAR(Record!H1), MONTH(E7), DAY(E7)),1,0)</f>
        <v>46</v>
      </c>
      <c r="F12" s="88"/>
    </row>
    <row r="13" spans="2:7" ht="15.75" thickBot="1" x14ac:dyDescent="0.3">
      <c r="B13" s="87"/>
      <c r="C13" s="89" t="s">
        <v>61</v>
      </c>
      <c r="D13" s="17"/>
      <c r="E13" s="115">
        <f>(YEAR(E9)-YEAR(Record!H1))/12+(MONTH(E9)-MONTH(Record!H1))</f>
        <v>5.5</v>
      </c>
      <c r="F13" s="88"/>
    </row>
    <row r="14" spans="2:7" ht="15.75" thickBot="1" x14ac:dyDescent="0.3">
      <c r="B14" s="87"/>
      <c r="C14" s="89" t="s">
        <v>48</v>
      </c>
      <c r="D14" s="17"/>
      <c r="E14" s="114">
        <f>0.02*E11*E13</f>
        <v>10560</v>
      </c>
      <c r="F14" s="88"/>
    </row>
    <row r="15" spans="2:7" ht="15.75" thickBot="1" x14ac:dyDescent="0.3">
      <c r="B15" s="87"/>
      <c r="C15" s="89" t="s">
        <v>62</v>
      </c>
      <c r="D15" s="17"/>
      <c r="E15" s="123">
        <f>IF(1-0.03*(YEAR(E10)-YEAR(Record!H1)+IF(E10&lt;DATE(YEAR(E10), MONTH(Record!H1), DAY(Record!H1)),0,1))&gt;0, 1-0.03*(YEAR(E10)-YEAR(Record!H1)+IF(E10&lt;DATE(YEAR(E10), MONTH(Record!H1), DAY(Record!H1)),0,1)), 0)</f>
        <v>0.43000000000000005</v>
      </c>
      <c r="F15" s="88"/>
    </row>
    <row r="16" spans="2:7" ht="15.75" thickBot="1" x14ac:dyDescent="0.3">
      <c r="B16" s="87"/>
      <c r="C16" s="89" t="s">
        <v>63</v>
      </c>
      <c r="D16" s="17"/>
      <c r="E16" s="124">
        <f>E14*E15</f>
        <v>4540.8</v>
      </c>
      <c r="F16" s="88"/>
    </row>
    <row r="17" spans="2:6" ht="15.75" thickBot="1" x14ac:dyDescent="0.3">
      <c r="B17" s="87"/>
      <c r="C17" s="89" t="s">
        <v>64</v>
      </c>
      <c r="D17" s="17"/>
      <c r="E17" s="125">
        <f>Annuity!G9</f>
        <v>84838.036799999987</v>
      </c>
      <c r="F17" s="88"/>
    </row>
    <row r="18" spans="2:6" ht="15.75" thickBot="1" x14ac:dyDescent="0.3">
      <c r="B18" s="87"/>
      <c r="C18" s="89"/>
      <c r="D18" s="17"/>
      <c r="E18" s="126"/>
      <c r="F18" s="88"/>
    </row>
    <row r="19" spans="2:6" ht="15.75" thickBot="1" x14ac:dyDescent="0.3">
      <c r="B19" s="87"/>
      <c r="C19" s="89" t="s">
        <v>65</v>
      </c>
      <c r="D19" s="17"/>
      <c r="E19" s="127">
        <f>E11*10</f>
        <v>960000</v>
      </c>
      <c r="F19" s="88"/>
    </row>
    <row r="20" spans="2:6" ht="15.75" thickBot="1" x14ac:dyDescent="0.3">
      <c r="B20" s="87"/>
      <c r="C20" s="89" t="s">
        <v>66</v>
      </c>
      <c r="D20" s="17"/>
      <c r="E20" s="128">
        <f>E17/E19</f>
        <v>8.8372954999999989E-2</v>
      </c>
      <c r="F20" s="88"/>
    </row>
    <row r="21" spans="2:6" x14ac:dyDescent="0.25">
      <c r="B21" s="87"/>
      <c r="C21" s="17"/>
      <c r="D21" s="17"/>
      <c r="E21" s="95"/>
      <c r="F21" s="88"/>
    </row>
    <row r="22" spans="2:6" ht="15.75" thickBot="1" x14ac:dyDescent="0.3">
      <c r="B22" s="87"/>
      <c r="C22" s="17"/>
      <c r="D22" s="17"/>
      <c r="E22" s="95"/>
      <c r="F22" s="88"/>
    </row>
    <row r="23" spans="2:6" ht="16.5" thickBot="1" x14ac:dyDescent="0.3">
      <c r="B23" s="87"/>
      <c r="C23" s="151" t="str">
        <f>"The statement is prepared on "&amp;TEXT(WORKDAY(DATE(YEAR(Record!H1),5,1),7),"MMMM DD, YYYY")</f>
        <v>The statement is prepared on May 10, 2019</v>
      </c>
      <c r="D23" s="152"/>
      <c r="E23" s="153"/>
      <c r="F23" s="88"/>
    </row>
    <row r="24" spans="2:6" ht="15.75" thickBot="1" x14ac:dyDescent="0.3">
      <c r="B24" s="90"/>
      <c r="C24" s="91"/>
      <c r="D24" s="91"/>
      <c r="E24" s="96"/>
      <c r="F24" s="92"/>
    </row>
    <row r="25" spans="2:6" ht="15.75" thickBot="1" x14ac:dyDescent="0.3">
      <c r="B25" s="14"/>
    </row>
    <row r="26" spans="2:6" ht="16.5" thickBot="1" x14ac:dyDescent="0.3">
      <c r="B26" s="14"/>
      <c r="C26" t="s">
        <v>67</v>
      </c>
      <c r="E26" s="97">
        <v>50005</v>
      </c>
    </row>
    <row r="27" spans="2:6" x14ac:dyDescent="0.25">
      <c r="B27" s="14"/>
    </row>
  </sheetData>
  <mergeCells count="2">
    <mergeCell ref="C3:E3"/>
    <mergeCell ref="C23:E23"/>
  </mergeCells>
  <printOptions horizontalCentered="1"/>
  <pageMargins left="0.7" right="0.7" top="0.75" bottom="0.75" header="0.3" footer="0.3"/>
  <pageSetup orientation="landscape" r:id="rId1"/>
  <headerFooter>
    <oddFooter>&amp;L&amp;A
&amp;F&amp;R&amp;T
&amp;D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3ADC6C-A409-4A8A-B6A0-1B5277BF6C48}">
          <x14:formula1>
            <xm:f>Record!$A$5:$A$14</xm:f>
          </x14:formula1>
          <xm:sqref>E26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CF4C-FB1F-4F99-9347-BEFB7FB79392}">
  <sheetPr>
    <pageSetUpPr fitToPage="1"/>
  </sheetPr>
  <dimension ref="B1:I15"/>
  <sheetViews>
    <sheetView showGridLines="0" workbookViewId="0">
      <selection activeCell="F38" sqref="F38"/>
    </sheetView>
  </sheetViews>
  <sheetFormatPr defaultRowHeight="15" x14ac:dyDescent="0.25"/>
  <cols>
    <col min="1" max="1" width="2.42578125" customWidth="1"/>
    <col min="2" max="2" width="12.7109375" customWidth="1"/>
    <col min="3" max="3" width="9.28515625" hidden="1" customWidth="1"/>
    <col min="4" max="7" width="9" bestFit="1" customWidth="1"/>
    <col min="8" max="8" width="11.28515625" bestFit="1" customWidth="1"/>
    <col min="9" max="9" width="9.28515625" bestFit="1" customWidth="1"/>
    <col min="10" max="10" width="11.28515625" bestFit="1" customWidth="1"/>
    <col min="11" max="11" width="13.85546875" bestFit="1" customWidth="1"/>
    <col min="12" max="14" width="11.28515625" bestFit="1" customWidth="1"/>
    <col min="15" max="15" width="12.7109375" bestFit="1" customWidth="1"/>
    <col min="16" max="16" width="10.85546875" bestFit="1" customWidth="1"/>
    <col min="17" max="17" width="12.7109375" bestFit="1" customWidth="1"/>
    <col min="18" max="18" width="10.85546875" bestFit="1" customWidth="1"/>
    <col min="19" max="19" width="12.7109375" bestFit="1" customWidth="1"/>
    <col min="20" max="20" width="10.85546875" bestFit="1" customWidth="1"/>
    <col min="21" max="21" width="12.7109375" bestFit="1" customWidth="1"/>
    <col min="22" max="22" width="10.85546875" bestFit="1" customWidth="1"/>
    <col min="23" max="23" width="17.85546875" bestFit="1" customWidth="1"/>
    <col min="24" max="24" width="15.85546875" bestFit="1" customWidth="1"/>
  </cols>
  <sheetData>
    <row r="1" spans="2:9" ht="12" customHeight="1" thickBot="1" x14ac:dyDescent="0.3"/>
    <row r="2" spans="2:9" ht="35.25" customHeight="1" thickTop="1" thickBot="1" x14ac:dyDescent="0.3">
      <c r="B2" s="154" t="s">
        <v>39</v>
      </c>
      <c r="C2" s="155"/>
      <c r="D2" s="155"/>
      <c r="E2" s="155"/>
      <c r="F2" s="155"/>
      <c r="G2" s="155"/>
      <c r="H2" s="156"/>
      <c r="I2" s="70"/>
    </row>
    <row r="3" spans="2:9" ht="13.5" customHeight="1" thickTop="1" x14ac:dyDescent="0.25"/>
    <row r="4" spans="2:9" ht="13.5" customHeight="1" thickBot="1" x14ac:dyDescent="0.3"/>
    <row r="5" spans="2:9" ht="13.5" customHeight="1" thickBot="1" x14ac:dyDescent="0.3">
      <c r="B5" s="60"/>
      <c r="C5" s="44"/>
      <c r="D5" s="68" t="s">
        <v>42</v>
      </c>
      <c r="E5" s="69"/>
      <c r="F5" s="50"/>
      <c r="G5" s="50"/>
      <c r="H5" s="51"/>
    </row>
    <row r="6" spans="2:9" ht="13.5" customHeight="1" thickBot="1" x14ac:dyDescent="0.3">
      <c r="B6" s="59" t="s">
        <v>18</v>
      </c>
      <c r="C6" s="45" t="s">
        <v>38</v>
      </c>
      <c r="D6" s="61" t="s">
        <v>36</v>
      </c>
      <c r="E6" s="62" t="s">
        <v>40</v>
      </c>
      <c r="F6" s="62" t="s">
        <v>41</v>
      </c>
      <c r="G6" s="62" t="s">
        <v>37</v>
      </c>
      <c r="H6" s="65" t="s">
        <v>31</v>
      </c>
    </row>
    <row r="7" spans="2:9" ht="13.5" customHeight="1" x14ac:dyDescent="0.25">
      <c r="B7" s="47" t="s">
        <v>33</v>
      </c>
      <c r="C7" s="46" t="s">
        <v>32</v>
      </c>
      <c r="D7" s="58">
        <v>0</v>
      </c>
      <c r="E7" s="54">
        <v>184000</v>
      </c>
      <c r="F7" s="54">
        <v>0</v>
      </c>
      <c r="G7" s="54">
        <v>211000</v>
      </c>
      <c r="H7" s="73">
        <v>395000</v>
      </c>
    </row>
    <row r="8" spans="2:9" ht="13.5" customHeight="1" thickBot="1" x14ac:dyDescent="0.3">
      <c r="B8" s="76"/>
      <c r="C8" s="17" t="s">
        <v>43</v>
      </c>
      <c r="D8" s="64"/>
      <c r="E8" s="63">
        <v>1</v>
      </c>
      <c r="F8" s="63"/>
      <c r="G8" s="63">
        <v>1</v>
      </c>
      <c r="H8" s="75">
        <v>2</v>
      </c>
    </row>
    <row r="9" spans="2:9" ht="13.5" customHeight="1" x14ac:dyDescent="0.25">
      <c r="B9" s="47" t="s">
        <v>34</v>
      </c>
      <c r="C9" s="46" t="s">
        <v>32</v>
      </c>
      <c r="D9" s="55">
        <v>0</v>
      </c>
      <c r="E9" s="56">
        <v>0</v>
      </c>
      <c r="F9" s="56">
        <v>182000</v>
      </c>
      <c r="G9" s="56">
        <v>174000</v>
      </c>
      <c r="H9" s="71">
        <v>356000</v>
      </c>
    </row>
    <row r="10" spans="2:9" ht="13.5" customHeight="1" thickBot="1" x14ac:dyDescent="0.3">
      <c r="B10" s="48"/>
      <c r="C10" s="17" t="s">
        <v>43</v>
      </c>
      <c r="D10" s="66"/>
      <c r="E10" s="67"/>
      <c r="F10" s="67">
        <v>1</v>
      </c>
      <c r="G10" s="67">
        <v>1</v>
      </c>
      <c r="H10" s="72">
        <v>2</v>
      </c>
    </row>
    <row r="11" spans="2:9" ht="13.5" customHeight="1" x14ac:dyDescent="0.25">
      <c r="B11" s="47" t="s">
        <v>35</v>
      </c>
      <c r="C11" s="46" t="s">
        <v>32</v>
      </c>
      <c r="D11" s="57">
        <v>368000</v>
      </c>
      <c r="E11" s="52">
        <v>186000</v>
      </c>
      <c r="F11" s="52">
        <v>364000</v>
      </c>
      <c r="G11" s="52">
        <v>192000</v>
      </c>
      <c r="H11" s="74">
        <v>1110000</v>
      </c>
    </row>
    <row r="12" spans="2:9" ht="13.5" customHeight="1" thickBot="1" x14ac:dyDescent="0.3">
      <c r="B12" s="48"/>
      <c r="C12" s="49" t="s">
        <v>43</v>
      </c>
      <c r="D12" s="66">
        <v>2</v>
      </c>
      <c r="E12" s="67">
        <v>1</v>
      </c>
      <c r="F12" s="67">
        <v>2</v>
      </c>
      <c r="G12" s="67">
        <v>1</v>
      </c>
      <c r="H12" s="72">
        <v>6</v>
      </c>
    </row>
    <row r="15" spans="2:9" ht="15.75" thickBot="1" x14ac:dyDescent="0.3"/>
  </sheetData>
  <mergeCells count="1">
    <mergeCell ref="B2:H2"/>
  </mergeCells>
  <printOptions horizontalCentered="1"/>
  <pageMargins left="0.7" right="0.7" top="0.75" bottom="0.75" header="0.3" footer="0.3"/>
  <pageSetup orientation="landscape" r:id="rId2"/>
  <headerFooter>
    <oddFooter>&amp;L&amp;A
&amp;F&amp;R&amp;T
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FF73E-4EAF-46C2-AE7F-D4627ECB2907}">
  <sheetPr>
    <pageSetUpPr fitToPage="1"/>
  </sheetPr>
  <dimension ref="A1:I14"/>
  <sheetViews>
    <sheetView showGridLines="0" tabSelected="1" workbookViewId="0">
      <selection activeCell="H1" sqref="H1"/>
    </sheetView>
  </sheetViews>
  <sheetFormatPr defaultRowHeight="15" x14ac:dyDescent="0.25"/>
  <cols>
    <col min="1" max="1" width="12" style="2" customWidth="1"/>
    <col min="2" max="2" width="23.42578125" customWidth="1"/>
    <col min="3" max="3" width="11.28515625" customWidth="1"/>
    <col min="4" max="4" width="12.140625" customWidth="1"/>
    <col min="5" max="5" width="15.140625" style="2" customWidth="1"/>
    <col min="6" max="6" width="14.5703125" style="2" customWidth="1"/>
    <col min="7" max="7" width="11.28515625" style="2" customWidth="1"/>
    <col min="8" max="8" width="12.42578125" customWidth="1"/>
  </cols>
  <sheetData>
    <row r="1" spans="1:9" ht="15.75" x14ac:dyDescent="0.25">
      <c r="A1" s="6" t="s">
        <v>16</v>
      </c>
      <c r="H1" s="5">
        <v>43466</v>
      </c>
    </row>
    <row r="2" spans="1:9" ht="15.75" thickBot="1" x14ac:dyDescent="0.3"/>
    <row r="3" spans="1:9" s="4" customFormat="1" ht="16.5" customHeight="1" thickTop="1" thickBot="1" x14ac:dyDescent="0.35">
      <c r="A3" s="129" t="s">
        <v>17</v>
      </c>
      <c r="B3" s="130"/>
      <c r="C3" s="130"/>
      <c r="D3" s="130"/>
      <c r="E3" s="130"/>
      <c r="F3" s="130"/>
      <c r="G3" s="130"/>
      <c r="H3" s="130"/>
      <c r="I3" s="12"/>
    </row>
    <row r="4" spans="1:9" ht="12.75" customHeight="1" thickBot="1" x14ac:dyDescent="0.3">
      <c r="A4" s="10" t="s">
        <v>0</v>
      </c>
      <c r="B4" s="10" t="s">
        <v>1</v>
      </c>
      <c r="C4" s="10" t="s">
        <v>2</v>
      </c>
      <c r="D4" s="10" t="s">
        <v>3</v>
      </c>
      <c r="E4" s="10" t="s">
        <v>5</v>
      </c>
      <c r="F4" s="10" t="s">
        <v>4</v>
      </c>
      <c r="G4" s="10" t="s">
        <v>18</v>
      </c>
      <c r="H4" s="10" t="s">
        <v>19</v>
      </c>
    </row>
    <row r="5" spans="1:9" x14ac:dyDescent="0.25">
      <c r="A5" s="7">
        <v>50002</v>
      </c>
      <c r="B5" s="8" t="s">
        <v>10</v>
      </c>
      <c r="C5" s="9">
        <v>99000</v>
      </c>
      <c r="D5" s="9">
        <v>91000</v>
      </c>
      <c r="E5" s="11">
        <v>19785</v>
      </c>
      <c r="F5" s="11">
        <v>42616</v>
      </c>
      <c r="G5" s="13">
        <f>YEAR($H$1)-YEAR(E5)+(MONTH($H$1)-MONTH(E5))/12+(DAY($H$1)-DAY(E5))/365.25</f>
        <v>64.830595482546201</v>
      </c>
      <c r="H5" s="13">
        <f>ROUND(YEAR($H$1)-YEAR(F5)+(MONTH($H$1)-MONTH(F5))/12+(DAY($H$1)-DAY(F5))/365.25,1)</f>
        <v>2.2999999999999998</v>
      </c>
    </row>
    <row r="6" spans="1:9" x14ac:dyDescent="0.25">
      <c r="A6" s="7">
        <v>50007</v>
      </c>
      <c r="B6" s="8" t="s">
        <v>8</v>
      </c>
      <c r="C6" s="9">
        <v>100000</v>
      </c>
      <c r="D6" s="9">
        <v>92000</v>
      </c>
      <c r="E6" s="11">
        <v>20070</v>
      </c>
      <c r="F6" s="11">
        <v>32743</v>
      </c>
      <c r="G6" s="13">
        <f>YEAR($H$1)-YEAR(E6)+(MONTH($H$1)-MONTH(E6))/12+(DAY($H$1)-DAY(E6))/365.25</f>
        <v>64.053216974674882</v>
      </c>
      <c r="H6" s="13">
        <f>ROUND(YEAR($H$1)-YEAR(F6)+(MONTH($H$1)-MONTH(F6))/12+(DAY($H$1)-DAY(F6))/365.25,1)</f>
        <v>29.4</v>
      </c>
    </row>
    <row r="7" spans="1:9" x14ac:dyDescent="0.25">
      <c r="A7" s="7">
        <v>50004</v>
      </c>
      <c r="B7" s="8" t="s">
        <v>12</v>
      </c>
      <c r="C7" s="9">
        <v>97000</v>
      </c>
      <c r="D7" s="9">
        <v>89000</v>
      </c>
      <c r="E7" s="11">
        <v>20341</v>
      </c>
      <c r="F7" s="11">
        <v>40825</v>
      </c>
      <c r="G7" s="13">
        <f>YEAR($H$1)-YEAR(E7)+(MONTH($H$1)-MONTH(E7))/12+(DAY($H$1)-DAY(E7))/365.25</f>
        <v>63.311430527036279</v>
      </c>
      <c r="H7" s="13">
        <f>ROUND(YEAR($H$1)-YEAR(F7)+(MONTH($H$1)-MONTH(F7))/12+(DAY($H$1)-DAY(F7))/365.25,1)</f>
        <v>7.2</v>
      </c>
    </row>
    <row r="8" spans="1:9" x14ac:dyDescent="0.25">
      <c r="A8" s="7">
        <v>50003</v>
      </c>
      <c r="B8" s="8" t="s">
        <v>11</v>
      </c>
      <c r="C8" s="9">
        <v>98000</v>
      </c>
      <c r="D8" s="9">
        <v>90000</v>
      </c>
      <c r="E8" s="11">
        <v>20584</v>
      </c>
      <c r="F8" s="11">
        <v>37989</v>
      </c>
      <c r="G8" s="13">
        <f>YEAR($H$1)-YEAR(E8)+(MONTH($H$1)-MONTH(E8))/12+(DAY($H$1)-DAY(E8))/365.25</f>
        <v>62.644763860369608</v>
      </c>
      <c r="H8" s="13">
        <f>ROUND(YEAR($H$1)-YEAR(F8)+(MONTH($H$1)-MONTH(F8))/12+(DAY($H$1)-DAY(F8))/365.25,1)</f>
        <v>15</v>
      </c>
    </row>
    <row r="9" spans="1:9" x14ac:dyDescent="0.25">
      <c r="A9" s="7">
        <v>50009</v>
      </c>
      <c r="B9" s="8" t="s">
        <v>14</v>
      </c>
      <c r="C9" s="9">
        <v>92000</v>
      </c>
      <c r="D9" s="9">
        <v>84000</v>
      </c>
      <c r="E9" s="11">
        <v>20694</v>
      </c>
      <c r="F9" s="11">
        <v>36767</v>
      </c>
      <c r="G9" s="13">
        <f>YEAR($H$1)-YEAR(E9)+(MONTH($H$1)-MONTH(E9))/12+(DAY($H$1)-DAY(E9))/365.25</f>
        <v>62.345482546201232</v>
      </c>
      <c r="H9" s="13">
        <f>ROUND(YEAR($H$1)-YEAR(F9)+(MONTH($H$1)-MONTH(F9))/12+(DAY($H$1)-DAY(F9))/365.25,1)</f>
        <v>18.3</v>
      </c>
    </row>
    <row r="10" spans="1:9" x14ac:dyDescent="0.25">
      <c r="A10" s="7">
        <v>50008</v>
      </c>
      <c r="B10" s="8" t="s">
        <v>15</v>
      </c>
      <c r="C10" s="9">
        <v>93000</v>
      </c>
      <c r="D10" s="9">
        <v>85000</v>
      </c>
      <c r="E10" s="11">
        <v>21491</v>
      </c>
      <c r="F10" s="11">
        <v>43078</v>
      </c>
      <c r="G10" s="13">
        <f>YEAR($H$1)-YEAR(E10)+(MONTH($H$1)-MONTH(E10))/12+(DAY($H$1)-DAY(E10))/365.25</f>
        <v>60.16392881587953</v>
      </c>
      <c r="H10" s="13">
        <f>ROUND(YEAR($H$1)-YEAR(F10)+(MONTH($H$1)-MONTH(F10))/12+(DAY($H$1)-DAY(F10))/365.25,1)</f>
        <v>1.1000000000000001</v>
      </c>
    </row>
    <row r="11" spans="1:9" x14ac:dyDescent="0.25">
      <c r="A11" s="7">
        <v>50010</v>
      </c>
      <c r="B11" s="8" t="s">
        <v>9</v>
      </c>
      <c r="C11" s="9">
        <v>91000</v>
      </c>
      <c r="D11" s="9">
        <v>83000</v>
      </c>
      <c r="E11" s="11">
        <v>22901</v>
      </c>
      <c r="F11" s="11">
        <v>32546</v>
      </c>
      <c r="G11" s="13">
        <f>YEAR($H$1)-YEAR(E11)+(MONTH($H$1)-MONTH(E11))/12+(DAY($H$1)-DAY(E11))/365.25</f>
        <v>56.303216974674882</v>
      </c>
      <c r="H11" s="13">
        <f>ROUND(YEAR($H$1)-YEAR(F11)+(MONTH($H$1)-MONTH(F11))/12+(DAY($H$1)-DAY(F11))/365.25,1)</f>
        <v>29.9</v>
      </c>
    </row>
    <row r="12" spans="1:9" x14ac:dyDescent="0.25">
      <c r="A12" s="7">
        <v>50006</v>
      </c>
      <c r="B12" s="8" t="s">
        <v>13</v>
      </c>
      <c r="C12" s="9">
        <v>95000</v>
      </c>
      <c r="D12" s="9">
        <v>87000</v>
      </c>
      <c r="E12" s="11">
        <v>23072</v>
      </c>
      <c r="F12" s="11">
        <v>36163</v>
      </c>
      <c r="G12" s="13">
        <f>YEAR($H$1)-YEAR(E12)+(MONTH($H$1)-MONTH(E12))/12+(DAY($H$1)-DAY(E12))/365.25</f>
        <v>55.830595482546201</v>
      </c>
      <c r="H12" s="13">
        <f>ROUND(YEAR($H$1)-YEAR(F12)+(MONTH($H$1)-MONTH(F12))/12+(DAY($H$1)-DAY(F12))/365.25,1)</f>
        <v>20</v>
      </c>
    </row>
    <row r="13" spans="1:9" x14ac:dyDescent="0.25">
      <c r="A13" s="7">
        <v>50001</v>
      </c>
      <c r="B13" s="8" t="s">
        <v>6</v>
      </c>
      <c r="C13" s="9">
        <v>110000</v>
      </c>
      <c r="D13" s="9">
        <v>101000</v>
      </c>
      <c r="E13" s="11">
        <v>26363</v>
      </c>
      <c r="F13" s="11">
        <v>33665</v>
      </c>
      <c r="G13" s="13">
        <f>YEAR($H$1)-YEAR(E13)+(MONTH($H$1)-MONTH(E13))/12+(DAY($H$1)-DAY(E13))/365.25</f>
        <v>46.822381930184804</v>
      </c>
      <c r="H13" s="13">
        <f>ROUND(YEAR($H$1)-YEAR(F13)+(MONTH($H$1)-MONTH(F13))/12+(DAY($H$1)-DAY(F13))/365.25,1)</f>
        <v>26.8</v>
      </c>
    </row>
    <row r="14" spans="1:9" x14ac:dyDescent="0.25">
      <c r="A14" s="7">
        <v>50005</v>
      </c>
      <c r="B14" s="8" t="s">
        <v>7</v>
      </c>
      <c r="C14" s="9">
        <v>96000</v>
      </c>
      <c r="D14" s="9">
        <v>88000</v>
      </c>
      <c r="E14" s="11">
        <v>26458</v>
      </c>
      <c r="F14" s="11">
        <v>40973</v>
      </c>
      <c r="G14" s="13">
        <f>YEAR($H$1)-YEAR(E14)+(MONTH($H$1)-MONTH(E14))/12+(DAY($H$1)-DAY(E14))/365.25</f>
        <v>46.564168377823414</v>
      </c>
      <c r="H14" s="13">
        <f>ROUND(YEAR($H$1)-YEAR(F14)+(MONTH($H$1)-MONTH(F14))/12+(DAY($H$1)-DAY(F14))/365.25,1)</f>
        <v>6.8</v>
      </c>
    </row>
  </sheetData>
  <sortState xmlns:xlrd2="http://schemas.microsoft.com/office/spreadsheetml/2017/richdata2" ref="A5:H14">
    <sortCondition descending="1" ref="G5:G14"/>
    <sortCondition ref="B5:B14"/>
  </sortState>
  <mergeCells count="1">
    <mergeCell ref="A3:H3"/>
  </mergeCells>
  <printOptions horizontalCentered="1"/>
  <pageMargins left="0.7" right="0.7" top="0.75" bottom="0.75" header="0.3" footer="0.3"/>
  <pageSetup orientation="landscape" r:id="rId1"/>
  <headerFooter>
    <oddFooter>&amp;L&amp;A
&amp;F&amp;R&amp;T
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39504-C97E-430D-BB0D-2A71FDA6D29D}">
  <sheetPr filterMode="1">
    <pageSetUpPr fitToPage="1"/>
  </sheetPr>
  <dimension ref="A1:M28"/>
  <sheetViews>
    <sheetView showGridLines="0" workbookViewId="0">
      <selection activeCell="B3" sqref="B3:G3"/>
    </sheetView>
  </sheetViews>
  <sheetFormatPr defaultRowHeight="15" x14ac:dyDescent="0.25"/>
  <cols>
    <col min="1" max="1" width="12" style="2" customWidth="1"/>
    <col min="2" max="2" width="23.42578125" customWidth="1"/>
    <col min="3" max="3" width="11.28515625" customWidth="1"/>
    <col min="4" max="4" width="14.140625" bestFit="1" customWidth="1"/>
    <col min="5" max="5" width="19.28515625" style="2" bestFit="1" customWidth="1"/>
    <col min="6" max="6" width="16.140625" style="2" bestFit="1" customWidth="1"/>
    <col min="7" max="7" width="11.28515625" style="2" customWidth="1"/>
    <col min="8" max="8" width="12.42578125" customWidth="1"/>
    <col min="9" max="9" width="7.5703125" customWidth="1"/>
  </cols>
  <sheetData>
    <row r="1" spans="1:13" ht="15.75" x14ac:dyDescent="0.25">
      <c r="A1" s="6" t="s">
        <v>16</v>
      </c>
      <c r="H1" s="5">
        <v>43466</v>
      </c>
    </row>
    <row r="2" spans="1:13" x14ac:dyDescent="0.25">
      <c r="A2"/>
      <c r="E2"/>
      <c r="F2"/>
      <c r="G2"/>
    </row>
    <row r="3" spans="1:13" ht="18.75" customHeight="1" x14ac:dyDescent="0.25">
      <c r="B3" s="158" t="s">
        <v>20</v>
      </c>
      <c r="C3" s="159"/>
      <c r="D3" s="159"/>
      <c r="E3" s="159"/>
      <c r="F3" s="159"/>
      <c r="G3" s="160"/>
      <c r="J3" s="33" t="s">
        <v>30</v>
      </c>
      <c r="K3" s="31"/>
    </row>
    <row r="4" spans="1:13" ht="18.75" x14ac:dyDescent="0.3">
      <c r="B4" s="20" t="s">
        <v>21</v>
      </c>
      <c r="C4" s="21"/>
      <c r="D4" s="38">
        <f>COUNT(A10:A19)</f>
        <v>10</v>
      </c>
      <c r="E4" s="39"/>
      <c r="F4" s="40" t="s">
        <v>26</v>
      </c>
      <c r="G4" s="41">
        <f>MAX(G10:G19)</f>
        <v>64.830595482546201</v>
      </c>
      <c r="J4" s="32" t="s">
        <v>18</v>
      </c>
      <c r="K4" s="32" t="s">
        <v>2</v>
      </c>
    </row>
    <row r="5" spans="1:13" x14ac:dyDescent="0.25">
      <c r="B5" s="22" t="s">
        <v>22</v>
      </c>
      <c r="C5" s="19"/>
      <c r="D5" s="35">
        <f>SUM(C10:C19)</f>
        <v>971000</v>
      </c>
      <c r="E5" s="42"/>
      <c r="F5" s="34" t="s">
        <v>23</v>
      </c>
      <c r="G5" s="23">
        <f>MIN(G10:G19)</f>
        <v>46.564168377823414</v>
      </c>
      <c r="J5" s="27" t="s">
        <v>28</v>
      </c>
      <c r="K5" s="28" t="s">
        <v>27</v>
      </c>
    </row>
    <row r="6" spans="1:13" x14ac:dyDescent="0.25">
      <c r="B6" s="24" t="s">
        <v>25</v>
      </c>
      <c r="C6" s="25"/>
      <c r="D6" s="36">
        <f>AVERAGE(C10:C19)</f>
        <v>97100</v>
      </c>
      <c r="E6" s="43"/>
      <c r="F6" s="37" t="s">
        <v>24</v>
      </c>
      <c r="G6" s="26">
        <f>AVERAGE(H10:H19)</f>
        <v>15.685297741273098</v>
      </c>
      <c r="J6" s="29" t="s">
        <v>29</v>
      </c>
      <c r="K6" s="30" t="s">
        <v>27</v>
      </c>
    </row>
    <row r="7" spans="1:13" ht="25.5" customHeight="1" thickBot="1" x14ac:dyDescent="0.3"/>
    <row r="8" spans="1:13" s="4" customFormat="1" ht="16.5" customHeight="1" thickTop="1" thickBot="1" x14ac:dyDescent="0.35">
      <c r="A8" s="129" t="s">
        <v>17</v>
      </c>
      <c r="B8" s="130"/>
      <c r="C8" s="130"/>
      <c r="D8" s="130"/>
      <c r="E8" s="130"/>
      <c r="F8" s="130"/>
      <c r="G8" s="130"/>
      <c r="H8" s="157"/>
      <c r="I8" s="16"/>
      <c r="J8" s="18"/>
    </row>
    <row r="9" spans="1:13" ht="12.75" customHeight="1" thickBot="1" x14ac:dyDescent="0.3">
      <c r="A9" s="10" t="s">
        <v>0</v>
      </c>
      <c r="B9" s="10" t="s">
        <v>1</v>
      </c>
      <c r="C9" s="10" t="s">
        <v>2</v>
      </c>
      <c r="D9" s="10" t="s">
        <v>3</v>
      </c>
      <c r="E9" s="10" t="s">
        <v>5</v>
      </c>
      <c r="F9" s="10" t="s">
        <v>4</v>
      </c>
      <c r="G9" s="10" t="s">
        <v>18</v>
      </c>
      <c r="H9" s="10" t="s">
        <v>19</v>
      </c>
    </row>
    <row r="10" spans="1:13" x14ac:dyDescent="0.25">
      <c r="A10" s="7">
        <v>50002</v>
      </c>
      <c r="B10" s="8" t="s">
        <v>10</v>
      </c>
      <c r="C10" s="9">
        <v>99000</v>
      </c>
      <c r="D10" s="9">
        <v>91000</v>
      </c>
      <c r="E10" s="11">
        <v>19785</v>
      </c>
      <c r="F10" s="11">
        <v>42616</v>
      </c>
      <c r="G10" s="13">
        <f t="shared" ref="G10:G19" si="0">YEAR($H$1)-YEAR(E10)+(MONTH($H$1)-MONTH(E10))/12+(DAY($H$1)-DAY(E10))/365.25</f>
        <v>64.830595482546201</v>
      </c>
      <c r="H10" s="13">
        <f>ROUND(YEAR($H$1)-YEAR(F10)+(MONTH($H$1)-MONTH(F10))/12+(DAY($H$1)-DAY(F10))/365.25,1)</f>
        <v>2.2999999999999998</v>
      </c>
    </row>
    <row r="11" spans="1:13" x14ac:dyDescent="0.25">
      <c r="A11" s="7">
        <v>50007</v>
      </c>
      <c r="B11" s="8" t="s">
        <v>8</v>
      </c>
      <c r="C11" s="9">
        <v>100000</v>
      </c>
      <c r="D11" s="9">
        <v>92000</v>
      </c>
      <c r="E11" s="11">
        <v>20070</v>
      </c>
      <c r="F11" s="11">
        <v>32743</v>
      </c>
      <c r="G11" s="13">
        <f t="shared" si="0"/>
        <v>64.053216974674882</v>
      </c>
      <c r="H11" s="13">
        <f t="shared" ref="H11:H17" si="1">ROUND(YEAR($H$1)-YEAR(F11)+(MONTH($H$1)-MONTH(F11))/12+(DAY($H$1)-DAY(F11))/365.25,1)</f>
        <v>29.4</v>
      </c>
    </row>
    <row r="12" spans="1:13" x14ac:dyDescent="0.25">
      <c r="A12" s="7">
        <v>50004</v>
      </c>
      <c r="B12" s="8" t="s">
        <v>12</v>
      </c>
      <c r="C12" s="9">
        <v>97000</v>
      </c>
      <c r="D12" s="9">
        <v>89000</v>
      </c>
      <c r="E12" s="11">
        <v>20341</v>
      </c>
      <c r="F12" s="11">
        <v>40825</v>
      </c>
      <c r="G12" s="13">
        <f t="shared" si="0"/>
        <v>63.311430527036279</v>
      </c>
      <c r="H12" s="13">
        <f t="shared" si="1"/>
        <v>7.2</v>
      </c>
    </row>
    <row r="13" spans="1:13" x14ac:dyDescent="0.25">
      <c r="A13" s="7">
        <v>50003</v>
      </c>
      <c r="B13" s="8" t="s">
        <v>11</v>
      </c>
      <c r="C13" s="9">
        <v>98000</v>
      </c>
      <c r="D13" s="9">
        <v>90000</v>
      </c>
      <c r="E13" s="11">
        <v>20584</v>
      </c>
      <c r="F13" s="11">
        <v>37989</v>
      </c>
      <c r="G13" s="13">
        <f t="shared" si="0"/>
        <v>62.644763860369608</v>
      </c>
      <c r="H13" s="13">
        <f t="shared" si="1"/>
        <v>15</v>
      </c>
    </row>
    <row r="14" spans="1:13" x14ac:dyDescent="0.25">
      <c r="A14" s="7">
        <v>50009</v>
      </c>
      <c r="B14" s="8" t="s">
        <v>14</v>
      </c>
      <c r="C14" s="9">
        <v>92000</v>
      </c>
      <c r="D14" s="9">
        <v>84000</v>
      </c>
      <c r="E14" s="11">
        <v>20694</v>
      </c>
      <c r="F14" s="11">
        <v>36767</v>
      </c>
      <c r="G14" s="13">
        <f t="shared" si="0"/>
        <v>62.345482546201232</v>
      </c>
      <c r="H14" s="13">
        <f t="shared" si="1"/>
        <v>18.3</v>
      </c>
    </row>
    <row r="15" spans="1:13" x14ac:dyDescent="0.25">
      <c r="A15" s="7">
        <v>50008</v>
      </c>
      <c r="B15" s="8" t="s">
        <v>15</v>
      </c>
      <c r="C15" s="9">
        <v>93000</v>
      </c>
      <c r="D15" s="9">
        <v>85000</v>
      </c>
      <c r="E15" s="11">
        <v>21491</v>
      </c>
      <c r="F15" s="11">
        <v>43078</v>
      </c>
      <c r="G15" s="13">
        <f t="shared" si="0"/>
        <v>60.16392881587953</v>
      </c>
      <c r="H15" s="13">
        <f t="shared" si="1"/>
        <v>1.1000000000000001</v>
      </c>
    </row>
    <row r="16" spans="1:13" x14ac:dyDescent="0.25">
      <c r="A16" s="7">
        <v>50010</v>
      </c>
      <c r="B16" s="8" t="s">
        <v>9</v>
      </c>
      <c r="C16" s="9">
        <v>91000</v>
      </c>
      <c r="D16" s="9">
        <v>83000</v>
      </c>
      <c r="E16" s="11">
        <v>22901</v>
      </c>
      <c r="F16" s="11">
        <v>32546</v>
      </c>
      <c r="G16" s="13">
        <f t="shared" si="0"/>
        <v>56.303216974674882</v>
      </c>
      <c r="H16" s="13">
        <f t="shared" si="1"/>
        <v>29.9</v>
      </c>
      <c r="K16" s="15"/>
      <c r="L16" s="15"/>
      <c r="M16" s="15"/>
    </row>
    <row r="17" spans="1:13" x14ac:dyDescent="0.25">
      <c r="A17" s="7">
        <v>50006</v>
      </c>
      <c r="B17" s="8" t="s">
        <v>13</v>
      </c>
      <c r="C17" s="9">
        <v>95000</v>
      </c>
      <c r="D17" s="9">
        <v>87000</v>
      </c>
      <c r="E17" s="11">
        <v>23072</v>
      </c>
      <c r="F17" s="11">
        <v>36163</v>
      </c>
      <c r="G17" s="13">
        <f t="shared" si="0"/>
        <v>55.830595482546201</v>
      </c>
      <c r="H17" s="13">
        <f t="shared" si="1"/>
        <v>20</v>
      </c>
      <c r="K17" s="15"/>
      <c r="L17" s="15"/>
      <c r="M17" s="15"/>
    </row>
    <row r="18" spans="1:13" hidden="1" x14ac:dyDescent="0.25">
      <c r="A18" s="7">
        <v>50001</v>
      </c>
      <c r="B18" s="8" t="s">
        <v>6</v>
      </c>
      <c r="C18" s="9">
        <v>110000</v>
      </c>
      <c r="D18" s="9">
        <v>101000</v>
      </c>
      <c r="E18" s="11">
        <v>26363</v>
      </c>
      <c r="F18" s="11">
        <v>33665</v>
      </c>
      <c r="G18" s="13">
        <f t="shared" si="0"/>
        <v>46.822381930184804</v>
      </c>
      <c r="H18" s="13">
        <f>YEAR($H$1)-YEAR(F18)+(MONTH($H$1)-MONTH(F18))/12+(DAY($H$1)-DAY(F18))/365.25</f>
        <v>26.830595482546201</v>
      </c>
      <c r="I18" s="13"/>
      <c r="K18" s="15"/>
      <c r="L18" s="15"/>
      <c r="M18" s="15"/>
    </row>
    <row r="19" spans="1:13" hidden="1" x14ac:dyDescent="0.25">
      <c r="A19" s="7">
        <v>50005</v>
      </c>
      <c r="B19" s="8" t="s">
        <v>7</v>
      </c>
      <c r="C19" s="9">
        <v>96000</v>
      </c>
      <c r="D19" s="9">
        <v>88000</v>
      </c>
      <c r="E19" s="11">
        <v>26458</v>
      </c>
      <c r="F19" s="11">
        <v>40973</v>
      </c>
      <c r="G19" s="13">
        <f t="shared" si="0"/>
        <v>46.564168377823414</v>
      </c>
      <c r="H19" s="13">
        <f>YEAR($H$1)-YEAR(F19)+(MONTH($H$1)-MONTH(F19))/12+(DAY($H$1)-DAY(F19))/365.25</f>
        <v>6.8223819301848048</v>
      </c>
      <c r="I19" s="13"/>
      <c r="K19" s="15"/>
      <c r="L19" s="15"/>
      <c r="M19" s="15"/>
    </row>
    <row r="21" spans="1:13" x14ac:dyDescent="0.25">
      <c r="B21" s="17"/>
    </row>
    <row r="22" spans="1:13" s="2" customFormat="1" x14ac:dyDescent="0.25">
      <c r="H22"/>
      <c r="I22"/>
      <c r="J22"/>
      <c r="K22"/>
      <c r="L22"/>
      <c r="M22"/>
    </row>
    <row r="23" spans="1:13" s="2" customFormat="1" x14ac:dyDescent="0.25">
      <c r="B23" s="3"/>
      <c r="H23"/>
      <c r="I23"/>
      <c r="J23"/>
      <c r="K23"/>
      <c r="L23"/>
      <c r="M23"/>
    </row>
    <row r="24" spans="1:13" s="2" customFormat="1" x14ac:dyDescent="0.25">
      <c r="H24"/>
      <c r="I24"/>
      <c r="J24"/>
      <c r="K24"/>
      <c r="L24"/>
      <c r="M24"/>
    </row>
    <row r="25" spans="1:13" s="2" customFormat="1" x14ac:dyDescent="0.25">
      <c r="H25"/>
      <c r="I25"/>
      <c r="J25"/>
      <c r="K25"/>
      <c r="L25"/>
      <c r="M25"/>
    </row>
    <row r="26" spans="1:13" s="2" customFormat="1" x14ac:dyDescent="0.25">
      <c r="H26"/>
      <c r="I26"/>
      <c r="J26"/>
      <c r="K26"/>
      <c r="L26"/>
      <c r="M26"/>
    </row>
    <row r="27" spans="1:13" s="2" customFormat="1" x14ac:dyDescent="0.25">
      <c r="H27"/>
      <c r="I27"/>
      <c r="J27"/>
      <c r="K27"/>
      <c r="L27"/>
      <c r="M27"/>
    </row>
    <row r="28" spans="1:13" s="2" customFormat="1" x14ac:dyDescent="0.25">
      <c r="H28"/>
      <c r="I28"/>
      <c r="J28"/>
      <c r="K28"/>
      <c r="L28"/>
      <c r="M28"/>
    </row>
  </sheetData>
  <mergeCells count="2">
    <mergeCell ref="A8:H8"/>
    <mergeCell ref="B3:G3"/>
  </mergeCells>
  <printOptions horizontalCentered="1"/>
  <pageMargins left="0.7" right="0.7" top="0.75" bottom="0.75" header="0.3" footer="0.3"/>
  <pageSetup orientation="landscape" r:id="rId1"/>
  <headerFooter>
    <oddFooter>&amp;L&amp;A
&amp;F&amp;R&amp;T
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D59C-4DF8-4A18-947D-79237C30ED06}">
  <sheetPr>
    <pageSetUpPr fitToPage="1"/>
  </sheetPr>
  <dimension ref="A1:L28"/>
  <sheetViews>
    <sheetView showGridLines="0" workbookViewId="0">
      <selection activeCell="B36" sqref="B36"/>
    </sheetView>
  </sheetViews>
  <sheetFormatPr defaultRowHeight="15" x14ac:dyDescent="0.25"/>
  <cols>
    <col min="1" max="1" width="12" style="2" customWidth="1"/>
    <col min="2" max="2" width="23.42578125" customWidth="1"/>
    <col min="3" max="3" width="11.28515625" customWidth="1"/>
    <col min="4" max="4" width="14.140625" bestFit="1" customWidth="1"/>
    <col min="5" max="5" width="19.28515625" style="2" bestFit="1" customWidth="1"/>
    <col min="6" max="6" width="16.140625" style="2" bestFit="1" customWidth="1"/>
    <col min="7" max="7" width="11.28515625" style="2" customWidth="1"/>
    <col min="8" max="8" width="12.42578125" customWidth="1"/>
  </cols>
  <sheetData>
    <row r="1" spans="1:12" ht="15.75" x14ac:dyDescent="0.25">
      <c r="A1" s="6" t="s">
        <v>16</v>
      </c>
      <c r="H1" s="5">
        <v>43466</v>
      </c>
    </row>
    <row r="2" spans="1:12" x14ac:dyDescent="0.25">
      <c r="A2"/>
      <c r="E2"/>
      <c r="F2"/>
      <c r="G2"/>
    </row>
    <row r="3" spans="1:12" ht="18.75" customHeight="1" x14ac:dyDescent="0.25">
      <c r="B3" s="158" t="s">
        <v>20</v>
      </c>
      <c r="C3" s="159"/>
      <c r="D3" s="159"/>
      <c r="E3" s="159"/>
      <c r="F3" s="159"/>
      <c r="G3" s="160"/>
    </row>
    <row r="4" spans="1:12" ht="18.75" x14ac:dyDescent="0.3">
      <c r="B4" s="20" t="s">
        <v>21</v>
      </c>
      <c r="C4" s="21"/>
      <c r="D4" s="38">
        <f>COUNT(A10:A19)</f>
        <v>10</v>
      </c>
      <c r="E4" s="39"/>
      <c r="F4" s="40" t="s">
        <v>26</v>
      </c>
      <c r="G4" s="41">
        <f>MAX(G10:G19)</f>
        <v>64.830595482546201</v>
      </c>
    </row>
    <row r="5" spans="1:12" x14ac:dyDescent="0.25">
      <c r="B5" s="22" t="s">
        <v>22</v>
      </c>
      <c r="C5" s="19"/>
      <c r="D5" s="35">
        <f>SUM(C10:C19)</f>
        <v>971000</v>
      </c>
      <c r="E5" s="42"/>
      <c r="F5" s="34" t="s">
        <v>23</v>
      </c>
      <c r="G5" s="23">
        <f>MIN(G10:G19)</f>
        <v>46.564168377823414</v>
      </c>
    </row>
    <row r="6" spans="1:12" x14ac:dyDescent="0.25">
      <c r="B6" s="24" t="s">
        <v>25</v>
      </c>
      <c r="C6" s="25"/>
      <c r="D6" s="36">
        <f>AVERAGE(C10:C19)</f>
        <v>97100</v>
      </c>
      <c r="E6" s="43"/>
      <c r="F6" s="37" t="s">
        <v>24</v>
      </c>
      <c r="G6" s="26">
        <f>AVERAGE(H10:H19)</f>
        <v>15.680000000000001</v>
      </c>
    </row>
    <row r="7" spans="1:12" ht="25.5" customHeight="1" thickBot="1" x14ac:dyDescent="0.3"/>
    <row r="8" spans="1:12" s="4" customFormat="1" ht="16.5" customHeight="1" thickTop="1" thickBot="1" x14ac:dyDescent="0.35">
      <c r="A8" s="129" t="s">
        <v>17</v>
      </c>
      <c r="B8" s="130"/>
      <c r="C8" s="130"/>
      <c r="D8" s="130"/>
      <c r="E8" s="130"/>
      <c r="F8" s="130"/>
      <c r="G8" s="130"/>
      <c r="H8" s="130"/>
      <c r="I8" s="12"/>
    </row>
    <row r="9" spans="1:12" ht="12.75" customHeight="1" thickBot="1" x14ac:dyDescent="0.3">
      <c r="A9" s="10" t="s">
        <v>0</v>
      </c>
      <c r="B9" s="10" t="s">
        <v>1</v>
      </c>
      <c r="C9" s="10" t="s">
        <v>2</v>
      </c>
      <c r="D9" s="10" t="s">
        <v>3</v>
      </c>
      <c r="E9" s="10" t="s">
        <v>5</v>
      </c>
      <c r="F9" s="10" t="s">
        <v>4</v>
      </c>
      <c r="G9" s="10" t="s">
        <v>18</v>
      </c>
      <c r="H9" s="10" t="s">
        <v>19</v>
      </c>
    </row>
    <row r="10" spans="1:12" x14ac:dyDescent="0.25">
      <c r="A10" s="7">
        <v>50002</v>
      </c>
      <c r="B10" s="8" t="s">
        <v>10</v>
      </c>
      <c r="C10" s="9">
        <v>99000</v>
      </c>
      <c r="D10" s="9">
        <v>91000</v>
      </c>
      <c r="E10" s="11">
        <v>19785</v>
      </c>
      <c r="F10" s="11">
        <v>42616</v>
      </c>
      <c r="G10" s="13">
        <f t="shared" ref="G10:G19" si="0">YEAR($H$1)-YEAR(E10)+(MONTH($H$1)-MONTH(E10))/12+(DAY($H$1)-DAY(E10))/365.25</f>
        <v>64.830595482546201</v>
      </c>
      <c r="H10" s="13">
        <f t="shared" ref="H10:H19" si="1">ROUND(YEAR($H$1)-YEAR(F10)+(MONTH($H$1)-MONTH(F10))/12+(DAY($H$1)-DAY(F10))/365.25,1)</f>
        <v>2.2999999999999998</v>
      </c>
    </row>
    <row r="11" spans="1:12" x14ac:dyDescent="0.25">
      <c r="A11" s="7">
        <v>50007</v>
      </c>
      <c r="B11" s="8" t="s">
        <v>8</v>
      </c>
      <c r="C11" s="9">
        <v>100000</v>
      </c>
      <c r="D11" s="9">
        <v>92000</v>
      </c>
      <c r="E11" s="11">
        <v>20070</v>
      </c>
      <c r="F11" s="11">
        <v>32743</v>
      </c>
      <c r="G11" s="13">
        <f t="shared" si="0"/>
        <v>64.053216974674882</v>
      </c>
      <c r="H11" s="13">
        <f t="shared" si="1"/>
        <v>29.4</v>
      </c>
    </row>
    <row r="12" spans="1:12" x14ac:dyDescent="0.25">
      <c r="A12" s="7">
        <v>50004</v>
      </c>
      <c r="B12" s="8" t="s">
        <v>12</v>
      </c>
      <c r="C12" s="9">
        <v>97000</v>
      </c>
      <c r="D12" s="9">
        <v>89000</v>
      </c>
      <c r="E12" s="11">
        <v>20341</v>
      </c>
      <c r="F12" s="11">
        <v>40825</v>
      </c>
      <c r="G12" s="13">
        <f t="shared" si="0"/>
        <v>63.311430527036279</v>
      </c>
      <c r="H12" s="13">
        <f t="shared" si="1"/>
        <v>7.2</v>
      </c>
    </row>
    <row r="13" spans="1:12" x14ac:dyDescent="0.25">
      <c r="A13" s="7">
        <v>50003</v>
      </c>
      <c r="B13" s="8" t="s">
        <v>11</v>
      </c>
      <c r="C13" s="9">
        <v>98000</v>
      </c>
      <c r="D13" s="9">
        <v>90000</v>
      </c>
      <c r="E13" s="11">
        <v>20584</v>
      </c>
      <c r="F13" s="11">
        <v>37989</v>
      </c>
      <c r="G13" s="13">
        <f t="shared" si="0"/>
        <v>62.644763860369608</v>
      </c>
      <c r="H13" s="13">
        <f t="shared" si="1"/>
        <v>15</v>
      </c>
    </row>
    <row r="14" spans="1:12" x14ac:dyDescent="0.25">
      <c r="A14" s="7">
        <v>50009</v>
      </c>
      <c r="B14" s="8" t="s">
        <v>14</v>
      </c>
      <c r="C14" s="9">
        <v>92000</v>
      </c>
      <c r="D14" s="9">
        <v>84000</v>
      </c>
      <c r="E14" s="11">
        <v>20694</v>
      </c>
      <c r="F14" s="11">
        <v>36767</v>
      </c>
      <c r="G14" s="13">
        <f t="shared" si="0"/>
        <v>62.345482546201232</v>
      </c>
      <c r="H14" s="13">
        <f t="shared" si="1"/>
        <v>18.3</v>
      </c>
    </row>
    <row r="15" spans="1:12" x14ac:dyDescent="0.25">
      <c r="A15" s="7">
        <v>50008</v>
      </c>
      <c r="B15" s="8" t="s">
        <v>15</v>
      </c>
      <c r="C15" s="9">
        <v>93000</v>
      </c>
      <c r="D15" s="9">
        <v>85000</v>
      </c>
      <c r="E15" s="11">
        <v>21491</v>
      </c>
      <c r="F15" s="11">
        <v>43078</v>
      </c>
      <c r="G15" s="13">
        <f t="shared" si="0"/>
        <v>60.16392881587953</v>
      </c>
      <c r="H15" s="13">
        <f t="shared" si="1"/>
        <v>1.1000000000000001</v>
      </c>
    </row>
    <row r="16" spans="1:12" x14ac:dyDescent="0.25">
      <c r="A16" s="7">
        <v>50010</v>
      </c>
      <c r="B16" s="8" t="s">
        <v>9</v>
      </c>
      <c r="C16" s="9">
        <v>91000</v>
      </c>
      <c r="D16" s="9">
        <v>83000</v>
      </c>
      <c r="E16" s="11">
        <v>22901</v>
      </c>
      <c r="F16" s="11">
        <v>32546</v>
      </c>
      <c r="G16" s="13">
        <f t="shared" si="0"/>
        <v>56.303216974674882</v>
      </c>
      <c r="H16" s="13">
        <f t="shared" si="1"/>
        <v>29.9</v>
      </c>
      <c r="J16" s="15"/>
      <c r="K16" s="15"/>
      <c r="L16" s="15"/>
    </row>
    <row r="17" spans="1:12" x14ac:dyDescent="0.25">
      <c r="A17" s="7">
        <v>50006</v>
      </c>
      <c r="B17" s="8" t="s">
        <v>13</v>
      </c>
      <c r="C17" s="9">
        <v>95000</v>
      </c>
      <c r="D17" s="9">
        <v>87000</v>
      </c>
      <c r="E17" s="11">
        <v>23072</v>
      </c>
      <c r="F17" s="11">
        <v>36163</v>
      </c>
      <c r="G17" s="13">
        <f t="shared" si="0"/>
        <v>55.830595482546201</v>
      </c>
      <c r="H17" s="13">
        <f t="shared" si="1"/>
        <v>20</v>
      </c>
      <c r="J17" s="15"/>
      <c r="K17" s="15"/>
      <c r="L17" s="15"/>
    </row>
    <row r="18" spans="1:12" x14ac:dyDescent="0.25">
      <c r="A18" s="7">
        <v>50001</v>
      </c>
      <c r="B18" s="8" t="s">
        <v>6</v>
      </c>
      <c r="C18" s="9">
        <v>110000</v>
      </c>
      <c r="D18" s="9">
        <v>101000</v>
      </c>
      <c r="E18" s="11">
        <v>26363</v>
      </c>
      <c r="F18" s="11">
        <v>33665</v>
      </c>
      <c r="G18" s="13">
        <f t="shared" si="0"/>
        <v>46.822381930184804</v>
      </c>
      <c r="H18" s="13">
        <f t="shared" si="1"/>
        <v>26.8</v>
      </c>
      <c r="J18" s="15"/>
      <c r="K18" s="15"/>
      <c r="L18" s="15"/>
    </row>
    <row r="19" spans="1:12" x14ac:dyDescent="0.25">
      <c r="A19" s="7">
        <v>50005</v>
      </c>
      <c r="B19" s="8" t="s">
        <v>7</v>
      </c>
      <c r="C19" s="9">
        <v>96000</v>
      </c>
      <c r="D19" s="9">
        <v>88000</v>
      </c>
      <c r="E19" s="11">
        <v>26458</v>
      </c>
      <c r="F19" s="11">
        <v>40973</v>
      </c>
      <c r="G19" s="13">
        <f t="shared" si="0"/>
        <v>46.564168377823414</v>
      </c>
      <c r="H19" s="13">
        <f t="shared" si="1"/>
        <v>6.8</v>
      </c>
      <c r="J19" s="15"/>
      <c r="K19" s="15"/>
      <c r="L19" s="15"/>
    </row>
    <row r="21" spans="1:12" x14ac:dyDescent="0.25">
      <c r="B21" s="17"/>
    </row>
    <row r="22" spans="1:12" s="2" customFormat="1" x14ac:dyDescent="0.25">
      <c r="H22"/>
      <c r="I22"/>
      <c r="J22"/>
      <c r="K22"/>
      <c r="L22"/>
    </row>
    <row r="23" spans="1:12" s="2" customFormat="1" x14ac:dyDescent="0.25">
      <c r="H23"/>
      <c r="I23"/>
      <c r="J23"/>
      <c r="K23"/>
      <c r="L23"/>
    </row>
    <row r="24" spans="1:12" s="2" customFormat="1" x14ac:dyDescent="0.25">
      <c r="H24"/>
      <c r="I24"/>
      <c r="J24"/>
      <c r="K24"/>
      <c r="L24"/>
    </row>
    <row r="25" spans="1:12" s="2" customFormat="1" x14ac:dyDescent="0.25">
      <c r="H25"/>
      <c r="I25"/>
      <c r="J25"/>
      <c r="K25"/>
      <c r="L25"/>
    </row>
    <row r="26" spans="1:12" s="2" customFormat="1" x14ac:dyDescent="0.25">
      <c r="H26"/>
      <c r="I26"/>
      <c r="J26"/>
      <c r="K26"/>
      <c r="L26"/>
    </row>
    <row r="27" spans="1:12" s="2" customFormat="1" x14ac:dyDescent="0.25">
      <c r="H27"/>
      <c r="I27"/>
      <c r="J27"/>
      <c r="K27"/>
      <c r="L27"/>
    </row>
    <row r="28" spans="1:12" s="2" customFormat="1" x14ac:dyDescent="0.25">
      <c r="H28"/>
      <c r="I28"/>
      <c r="J28"/>
      <c r="K28"/>
      <c r="L28"/>
    </row>
  </sheetData>
  <autoFilter ref="A9:H19" xr:uid="{31EA040B-2620-4CE6-ADB9-518B2F3C9102}"/>
  <mergeCells count="2">
    <mergeCell ref="A8:H8"/>
    <mergeCell ref="B3:G3"/>
  </mergeCells>
  <printOptions horizontalCentered="1"/>
  <pageMargins left="0.7" right="0.7" top="0.75" bottom="0.75" header="0.3" footer="0.3"/>
  <pageSetup scale="94" orientation="landscape" r:id="rId1"/>
  <headerFooter>
    <oddFooter>&amp;L&amp;A
&amp;F&amp;R&amp;T
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Record</vt:lpstr>
      <vt:lpstr>Qx</vt:lpstr>
      <vt:lpstr>Rate</vt:lpstr>
      <vt:lpstr>Annuity</vt:lpstr>
      <vt:lpstr>Statement</vt:lpstr>
      <vt:lpstr>Pivot Table</vt:lpstr>
      <vt:lpstr>Sort DB</vt:lpstr>
      <vt:lpstr>Filter Advance</vt:lpstr>
      <vt:lpstr>Filter DB</vt:lpstr>
      <vt:lpstr>'Filter Advance'!Criteria</vt:lpstr>
      <vt:lpstr>Annuity!Print_Area</vt:lpstr>
      <vt:lpstr>'Filter Advance'!Print_Area</vt:lpstr>
      <vt:lpstr>Qx!Print_Area</vt:lpstr>
      <vt:lpstr>Record!Print_Area</vt:lpstr>
      <vt:lpstr>Statement!Print_Area</vt:lpstr>
      <vt:lpstr>Annuity!Print_Titles</vt:lpstr>
      <vt:lpstr>Qx!Print_Titles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Forti</dc:creator>
  <cp:lastModifiedBy>Lauren Forti</cp:lastModifiedBy>
  <cp:lastPrinted>2022-05-02T01:53:07Z</cp:lastPrinted>
  <dcterms:created xsi:type="dcterms:W3CDTF">2022-04-25T00:35:09Z</dcterms:created>
  <dcterms:modified xsi:type="dcterms:W3CDTF">2022-05-02T01:55:33Z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d11c8ed4-fc03-498c-8118-e89f79e6a7a6</vt:lpwstr>
  </property>
</Properties>
</file>